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a/Desktop/Research/CRL Lab/Projects/Matrix Reloaded/datasets/"/>
    </mc:Choice>
  </mc:AlternateContent>
  <xr:revisionPtr revIDLastSave="0" documentId="13_ncr:1_{8667E22E-A4F6-7A4D-AFF8-0510BA18DDC6}" xr6:coauthVersionLast="47" xr6:coauthVersionMax="47" xr10:uidLastSave="{00000000-0000-0000-0000-000000000000}"/>
  <bookViews>
    <workbookView xWindow="30260" yWindow="500" windowWidth="24640" windowHeight="16920" xr2:uid="{463C34E7-2765-6E4A-9FB8-D0312110B93E}"/>
  </bookViews>
  <sheets>
    <sheet name="Sheet1" sheetId="1" r:id="rId1"/>
    <sheet name="Sheet6" sheetId="7" r:id="rId2"/>
    <sheet name="Sheet4" sheetId="4" r:id="rId3"/>
    <sheet name="Sheet3" sheetId="3" r:id="rId4"/>
    <sheet name="heat stress mort data" sheetId="2" r:id="rId5"/>
    <sheet name="Sheet5" sheetId="5" r:id="rId6"/>
    <sheet name="Sheet2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7" i="6" l="1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A246" i="6"/>
  <c r="A245" i="6"/>
  <c r="A244" i="6"/>
  <c r="AF9" i="5"/>
  <c r="AE9" i="5"/>
  <c r="AF8" i="5"/>
  <c r="AE8" i="5"/>
  <c r="AG3" i="5"/>
  <c r="AG4" i="5"/>
  <c r="AG7" i="5"/>
  <c r="AG2" i="5"/>
  <c r="AF7" i="5"/>
  <c r="AE7" i="5"/>
  <c r="AF4" i="5"/>
  <c r="AE4" i="5"/>
  <c r="AF3" i="5"/>
  <c r="AE3" i="5"/>
  <c r="AF2" i="5"/>
  <c r="AE2" i="5"/>
  <c r="D186" i="5"/>
  <c r="D185" i="5"/>
  <c r="AG9" i="5" l="1"/>
  <c r="AG8" i="5"/>
  <c r="E184" i="5"/>
  <c r="E185" i="5" s="1"/>
  <c r="E186" i="5" s="1"/>
  <c r="F184" i="5"/>
  <c r="F185" i="5" s="1"/>
  <c r="F186" i="5" s="1"/>
  <c r="G184" i="5"/>
  <c r="G185" i="5" s="1"/>
  <c r="G186" i="5" s="1"/>
  <c r="H184" i="5"/>
  <c r="H185" i="5" s="1"/>
  <c r="H186" i="5" s="1"/>
  <c r="I184" i="5"/>
  <c r="I185" i="5" s="1"/>
  <c r="I186" i="5" s="1"/>
  <c r="J184" i="5"/>
  <c r="J185" i="5" s="1"/>
  <c r="J186" i="5" s="1"/>
  <c r="K184" i="5"/>
  <c r="K185" i="5" s="1"/>
  <c r="K186" i="5" s="1"/>
  <c r="L184" i="5"/>
  <c r="L185" i="5" s="1"/>
  <c r="L186" i="5" s="1"/>
  <c r="M184" i="5"/>
  <c r="M185" i="5" s="1"/>
  <c r="M186" i="5" s="1"/>
  <c r="N184" i="5"/>
  <c r="N185" i="5" s="1"/>
  <c r="N186" i="5" s="1"/>
  <c r="D184" i="5"/>
  <c r="G3" i="3"/>
  <c r="G4" i="3"/>
  <c r="F4" i="3"/>
  <c r="G2" i="3"/>
  <c r="F3" i="3"/>
  <c r="F2" i="3"/>
  <c r="E243" i="2"/>
  <c r="F243" i="2"/>
  <c r="D243" i="2"/>
  <c r="C243" i="2"/>
  <c r="C240" i="2"/>
  <c r="C236" i="2"/>
  <c r="C232" i="2"/>
  <c r="C228" i="2"/>
  <c r="C220" i="2"/>
  <c r="C208" i="2"/>
  <c r="C204" i="2"/>
  <c r="C192" i="2"/>
  <c r="C188" i="2"/>
  <c r="C176" i="2"/>
  <c r="C170" i="2"/>
  <c r="C166" i="2"/>
  <c r="C158" i="2"/>
  <c r="C154" i="2"/>
  <c r="C150" i="2"/>
  <c r="C146" i="2"/>
  <c r="C142" i="2"/>
  <c r="C138" i="2" l="1"/>
  <c r="C134" i="2"/>
  <c r="C118" i="2"/>
  <c r="C114" i="2"/>
  <c r="C107" i="2"/>
  <c r="C99" i="2"/>
  <c r="C91" i="2"/>
  <c r="C80" i="2"/>
  <c r="C66" i="2"/>
  <c r="C58" i="2"/>
  <c r="C44" i="2"/>
  <c r="C40" i="2"/>
  <c r="C36" i="2"/>
  <c r="C28" i="2"/>
  <c r="C22" i="2"/>
  <c r="C2" i="2"/>
</calcChain>
</file>

<file path=xl/sharedStrings.xml><?xml version="1.0" encoding="utf-8"?>
<sst xmlns="http://schemas.openxmlformats.org/spreadsheetml/2006/main" count="5738" uniqueCount="251">
  <si>
    <t>754A</t>
  </si>
  <si>
    <t>670A</t>
  </si>
  <si>
    <t>660A</t>
  </si>
  <si>
    <t>755A</t>
  </si>
  <si>
    <t>752A</t>
  </si>
  <si>
    <t>673A</t>
  </si>
  <si>
    <t>751A</t>
  </si>
  <si>
    <t>667A</t>
  </si>
  <si>
    <t>671A</t>
  </si>
  <si>
    <t>652A</t>
  </si>
  <si>
    <t>771A</t>
  </si>
  <si>
    <t>757A</t>
  </si>
  <si>
    <t>657A</t>
  </si>
  <si>
    <t>658A</t>
  </si>
  <si>
    <t>674A</t>
  </si>
  <si>
    <t>675A</t>
  </si>
  <si>
    <t>672A</t>
  </si>
  <si>
    <t>766A</t>
  </si>
  <si>
    <t>774A</t>
  </si>
  <si>
    <t>769A</t>
  </si>
  <si>
    <t>765A</t>
  </si>
  <si>
    <t>662A</t>
  </si>
  <si>
    <t>655A</t>
  </si>
  <si>
    <t>762A</t>
  </si>
  <si>
    <t>656A</t>
  </si>
  <si>
    <t>756A</t>
  </si>
  <si>
    <t>760A</t>
  </si>
  <si>
    <t>758A</t>
  </si>
  <si>
    <t>653A</t>
  </si>
  <si>
    <t>913A</t>
  </si>
  <si>
    <t>775A</t>
  </si>
  <si>
    <t>915A</t>
  </si>
  <si>
    <t>763A</t>
  </si>
  <si>
    <t>759A</t>
  </si>
  <si>
    <t>918A</t>
  </si>
  <si>
    <t>761A</t>
  </si>
  <si>
    <t>659A</t>
  </si>
  <si>
    <t>663A</t>
  </si>
  <si>
    <t>764A</t>
  </si>
  <si>
    <t>668A</t>
  </si>
  <si>
    <t>664A</t>
  </si>
  <si>
    <t>770A</t>
  </si>
  <si>
    <t>767A</t>
  </si>
  <si>
    <t>909A</t>
  </si>
  <si>
    <t>772A</t>
  </si>
  <si>
    <t>666A</t>
  </si>
  <si>
    <t>669A</t>
  </si>
  <si>
    <t>916A</t>
  </si>
  <si>
    <t>768A</t>
  </si>
  <si>
    <t>912A</t>
  </si>
  <si>
    <t>910A</t>
  </si>
  <si>
    <t>773A</t>
  </si>
  <si>
    <t>654A</t>
  </si>
  <si>
    <t>661A</t>
  </si>
  <si>
    <t>665A</t>
  </si>
  <si>
    <t>917A</t>
  </si>
  <si>
    <t>914A</t>
  </si>
  <si>
    <t>911A</t>
  </si>
  <si>
    <t>773B</t>
  </si>
  <si>
    <t>663B</t>
  </si>
  <si>
    <t>772B</t>
  </si>
  <si>
    <t>771B</t>
  </si>
  <si>
    <t>914B</t>
  </si>
  <si>
    <t>915B</t>
  </si>
  <si>
    <t>909B</t>
  </si>
  <si>
    <t>763B</t>
  </si>
  <si>
    <t>753B</t>
  </si>
  <si>
    <t>665B</t>
  </si>
  <si>
    <t>768B</t>
  </si>
  <si>
    <t>664B</t>
  </si>
  <si>
    <t>656B</t>
  </si>
  <si>
    <t>910B</t>
  </si>
  <si>
    <t>661B</t>
  </si>
  <si>
    <t>758B</t>
  </si>
  <si>
    <t>759B</t>
  </si>
  <si>
    <t>666B</t>
  </si>
  <si>
    <t>916B</t>
  </si>
  <si>
    <t>654B</t>
  </si>
  <si>
    <t>770B</t>
  </si>
  <si>
    <t>766B</t>
  </si>
  <si>
    <t>760B</t>
  </si>
  <si>
    <t>769B</t>
  </si>
  <si>
    <t>672B</t>
  </si>
  <si>
    <t>762B</t>
  </si>
  <si>
    <t>761B</t>
  </si>
  <si>
    <t>658B</t>
  </si>
  <si>
    <t>765B</t>
  </si>
  <si>
    <t>912B</t>
  </si>
  <si>
    <t>917B</t>
  </si>
  <si>
    <t>756B</t>
  </si>
  <si>
    <t>659B</t>
  </si>
  <si>
    <t>775B</t>
  </si>
  <si>
    <t>913B</t>
  </si>
  <si>
    <t>653B</t>
  </si>
  <si>
    <t>754B</t>
  </si>
  <si>
    <t>655B</t>
  </si>
  <si>
    <t>667B</t>
  </si>
  <si>
    <t>757B</t>
  </si>
  <si>
    <t>652B</t>
  </si>
  <si>
    <t>657B</t>
  </si>
  <si>
    <t>911B</t>
  </si>
  <si>
    <t>767B</t>
  </si>
  <si>
    <t>662B</t>
  </si>
  <si>
    <t>671B</t>
  </si>
  <si>
    <t>675B</t>
  </si>
  <si>
    <t>674B</t>
  </si>
  <si>
    <t>751B</t>
  </si>
  <si>
    <t>660B</t>
  </si>
  <si>
    <t>673B</t>
  </si>
  <si>
    <t>752B</t>
  </si>
  <si>
    <t>774B</t>
  </si>
  <si>
    <t>918B</t>
  </si>
  <si>
    <t>755B</t>
  </si>
  <si>
    <t>670B</t>
  </si>
  <si>
    <t>668B</t>
  </si>
  <si>
    <t>669B</t>
  </si>
  <si>
    <t>764B</t>
  </si>
  <si>
    <t>917C</t>
  </si>
  <si>
    <t>664C</t>
  </si>
  <si>
    <t>914C</t>
  </si>
  <si>
    <t>911C</t>
  </si>
  <si>
    <t>659C</t>
  </si>
  <si>
    <t>668C</t>
  </si>
  <si>
    <t>665C</t>
  </si>
  <si>
    <t>661C</t>
  </si>
  <si>
    <t>653C</t>
  </si>
  <si>
    <t>764C</t>
  </si>
  <si>
    <t>666C</t>
  </si>
  <si>
    <t>758C</t>
  </si>
  <si>
    <t>759C</t>
  </si>
  <si>
    <t>654C</t>
  </si>
  <si>
    <t>916C</t>
  </si>
  <si>
    <t>669C</t>
  </si>
  <si>
    <t>652C</t>
  </si>
  <si>
    <t>771C</t>
  </si>
  <si>
    <t>667C</t>
  </si>
  <si>
    <t>671C</t>
  </si>
  <si>
    <t>655C</t>
  </si>
  <si>
    <t>662C</t>
  </si>
  <si>
    <t>762C</t>
  </si>
  <si>
    <t>753C</t>
  </si>
  <si>
    <t>763C</t>
  </si>
  <si>
    <t>757C</t>
  </si>
  <si>
    <t>913C</t>
  </si>
  <si>
    <t>918C</t>
  </si>
  <si>
    <t>910C</t>
  </si>
  <si>
    <t>754C</t>
  </si>
  <si>
    <t>675C</t>
  </si>
  <si>
    <t>670C</t>
  </si>
  <si>
    <t>767C</t>
  </si>
  <si>
    <t>674C</t>
  </si>
  <si>
    <t>751C</t>
  </si>
  <si>
    <t>673C</t>
  </si>
  <si>
    <t>752C</t>
  </si>
  <si>
    <t>755C</t>
  </si>
  <si>
    <t>663C</t>
  </si>
  <si>
    <t>657C</t>
  </si>
  <si>
    <t>658C</t>
  </si>
  <si>
    <t>912C</t>
  </si>
  <si>
    <t>769C</t>
  </si>
  <si>
    <t>775C</t>
  </si>
  <si>
    <t>768C</t>
  </si>
  <si>
    <t>774C</t>
  </si>
  <si>
    <t>909C</t>
  </si>
  <si>
    <t>660C</t>
  </si>
  <si>
    <t>765C</t>
  </si>
  <si>
    <t>756C</t>
  </si>
  <si>
    <t>761C</t>
  </si>
  <si>
    <t>656C</t>
  </si>
  <si>
    <t>766C</t>
  </si>
  <si>
    <t>760C</t>
  </si>
  <si>
    <t>772C</t>
  </si>
  <si>
    <t>773C</t>
  </si>
  <si>
    <t>770C</t>
  </si>
  <si>
    <t>915C</t>
  </si>
  <si>
    <t>CORAL_ID</t>
  </si>
  <si>
    <t>PRE_PAM</t>
  </si>
  <si>
    <t>LAST_PAM</t>
  </si>
  <si>
    <t>DAYS_TO_BLEACH</t>
  </si>
  <si>
    <t>NA</t>
  </si>
  <si>
    <t>DAYS_TO_MORTALITY</t>
  </si>
  <si>
    <t>PAM_HS0</t>
  </si>
  <si>
    <t>PAM_HS1</t>
  </si>
  <si>
    <t>PAM_HS2</t>
  </si>
  <si>
    <t>PAM_HS3</t>
  </si>
  <si>
    <t>PAM_HS4</t>
  </si>
  <si>
    <t>PAM_HS5</t>
  </si>
  <si>
    <t>PAM_HS6</t>
  </si>
  <si>
    <t>PAM_HS7</t>
  </si>
  <si>
    <t>PAM_HS8</t>
  </si>
  <si>
    <t>PAM_HS9</t>
  </si>
  <si>
    <t>PAM_HS10</t>
  </si>
  <si>
    <t>PAM_HS11</t>
  </si>
  <si>
    <t>PAM_HS12</t>
  </si>
  <si>
    <t>PAM_HS13</t>
  </si>
  <si>
    <t>PAM_HS14</t>
  </si>
  <si>
    <t>MORT_HS0</t>
  </si>
  <si>
    <t>MORT_HS1</t>
  </si>
  <si>
    <t>MORT_HS2</t>
  </si>
  <si>
    <t>MORT_HS3</t>
  </si>
  <si>
    <t>MORT_HS4</t>
  </si>
  <si>
    <t>MORT_HS5</t>
  </si>
  <si>
    <t>MORT_HS6</t>
  </si>
  <si>
    <t>MORT_HS7</t>
  </si>
  <si>
    <t>MORT_HS8</t>
  </si>
  <si>
    <t>MORT_HS9</t>
  </si>
  <si>
    <t>MORT_HS10</t>
  </si>
  <si>
    <t>MORT_HS11</t>
  </si>
  <si>
    <t>MORT_HS12</t>
  </si>
  <si>
    <t>MORT_HS13</t>
  </si>
  <si>
    <t>MORT_HS14</t>
  </si>
  <si>
    <t>MORT_R1</t>
  </si>
  <si>
    <t>MORT_R2</t>
  </si>
  <si>
    <t>MORT_R3</t>
  </si>
  <si>
    <t>MORT_R4</t>
  </si>
  <si>
    <t>MORT_R5</t>
  </si>
  <si>
    <t>MORT_R6</t>
  </si>
  <si>
    <t>MORT_R7</t>
  </si>
  <si>
    <t>MORT_R14</t>
  </si>
  <si>
    <t>MORT_R30</t>
  </si>
  <si>
    <t>MORT_R60</t>
  </si>
  <si>
    <t>MORT_R80</t>
  </si>
  <si>
    <t>REC_PAM</t>
  </si>
  <si>
    <t>GENET</t>
  </si>
  <si>
    <t>Heated</t>
  </si>
  <si>
    <t>Control</t>
  </si>
  <si>
    <t>TREATMENT</t>
  </si>
  <si>
    <t>all ramets did the same thing</t>
  </si>
  <si>
    <t>n</t>
  </si>
  <si>
    <t>y</t>
  </si>
  <si>
    <t>ramets within 1 day of each other</t>
  </si>
  <si>
    <t>ramets within 2 days</t>
  </si>
  <si>
    <t>N</t>
  </si>
  <si>
    <t>Y</t>
  </si>
  <si>
    <t>Died</t>
  </si>
  <si>
    <t>Clade</t>
  </si>
  <si>
    <t>C</t>
  </si>
  <si>
    <t>D</t>
  </si>
  <si>
    <t>M</t>
  </si>
  <si>
    <t>Yes</t>
  </si>
  <si>
    <t>No</t>
  </si>
  <si>
    <t>alive r1</t>
  </si>
  <si>
    <t>total r1</t>
  </si>
  <si>
    <t>alive r80</t>
  </si>
  <si>
    <t>total r80</t>
  </si>
  <si>
    <t>DAY80</t>
  </si>
  <si>
    <t>DAY7</t>
  </si>
  <si>
    <t>MORT_R8N</t>
  </si>
  <si>
    <t>MORT_R0</t>
  </si>
  <si>
    <t>alive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</si>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</sst>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E0BC-AA36-104B-ABD9-79C91122D30A}">
  <dimension ref="A1:AX243"/>
  <sheetViews>
    <sheetView tabSelected="1" workbookViewId="0">
      <selection activeCell="D25" sqref="D25"/>
    </sheetView>
  </sheetViews>
  <sheetFormatPr baseColWidth="10" defaultRowHeight="16" x14ac:dyDescent="0.2"/>
  <cols>
    <col min="4" max="4" width="14.6640625" customWidth="1"/>
    <col min="5" max="5" width="16.33203125" customWidth="1"/>
    <col min="6" max="6" width="20.6640625" customWidth="1"/>
    <col min="7" max="7" width="21" customWidth="1"/>
    <col min="23" max="23" width="21" customWidth="1"/>
  </cols>
  <sheetData>
    <row r="1" spans="1:50" x14ac:dyDescent="0.2">
      <c r="A1" t="s">
        <v>226</v>
      </c>
      <c r="B1" t="s">
        <v>223</v>
      </c>
      <c r="C1" t="s">
        <v>175</v>
      </c>
      <c r="D1" t="s">
        <v>176</v>
      </c>
      <c r="E1" t="s">
        <v>177</v>
      </c>
      <c r="F1" t="s">
        <v>178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192</v>
      </c>
      <c r="T1" t="s">
        <v>193</v>
      </c>
      <c r="U1" t="s">
        <v>194</v>
      </c>
      <c r="V1" t="s">
        <v>195</v>
      </c>
      <c r="W1" t="s">
        <v>222</v>
      </c>
      <c r="X1" t="s">
        <v>196</v>
      </c>
      <c r="Y1" t="s">
        <v>197</v>
      </c>
      <c r="Z1" t="s">
        <v>198</v>
      </c>
      <c r="AA1" t="s">
        <v>199</v>
      </c>
      <c r="AB1" t="s">
        <v>200</v>
      </c>
      <c r="AC1" t="s">
        <v>201</v>
      </c>
      <c r="AD1" t="s">
        <v>202</v>
      </c>
      <c r="AE1" t="s">
        <v>203</v>
      </c>
      <c r="AF1" t="s">
        <v>204</v>
      </c>
      <c r="AG1" t="s">
        <v>205</v>
      </c>
      <c r="AH1" t="s">
        <v>206</v>
      </c>
      <c r="AI1" t="s">
        <v>207</v>
      </c>
      <c r="AJ1" t="s">
        <v>208</v>
      </c>
      <c r="AK1" t="s">
        <v>209</v>
      </c>
      <c r="AL1" t="s">
        <v>210</v>
      </c>
      <c r="AM1" t="s">
        <v>248</v>
      </c>
      <c r="AN1" t="s">
        <v>211</v>
      </c>
      <c r="AO1" t="s">
        <v>212</v>
      </c>
      <c r="AP1" t="s">
        <v>213</v>
      </c>
      <c r="AQ1" t="s">
        <v>214</v>
      </c>
      <c r="AR1" t="s">
        <v>215</v>
      </c>
      <c r="AS1" t="s">
        <v>216</v>
      </c>
      <c r="AT1" t="s">
        <v>217</v>
      </c>
      <c r="AU1" t="s">
        <v>218</v>
      </c>
      <c r="AV1" t="s">
        <v>219</v>
      </c>
      <c r="AW1" t="s">
        <v>220</v>
      </c>
      <c r="AX1" t="s">
        <v>221</v>
      </c>
    </row>
    <row r="2" spans="1:50" x14ac:dyDescent="0.2">
      <c r="A2" t="s">
        <v>224</v>
      </c>
      <c r="B2">
        <v>758</v>
      </c>
      <c r="C2">
        <v>665</v>
      </c>
      <c r="D2">
        <v>0.57437558811151246</v>
      </c>
      <c r="E2">
        <v>0.52301791275395126</v>
      </c>
      <c r="F2" t="s">
        <v>179</v>
      </c>
      <c r="G2">
        <v>9</v>
      </c>
      <c r="H2">
        <v>0.57437558811151246</v>
      </c>
      <c r="I2">
        <v>0.56447353704738445</v>
      </c>
      <c r="J2">
        <v>0.52671635247367032</v>
      </c>
      <c r="K2">
        <v>0.52192233049883896</v>
      </c>
      <c r="L2">
        <v>0.41540980357769208</v>
      </c>
      <c r="M2">
        <v>0.51380032141243948</v>
      </c>
      <c r="N2">
        <v>0.54633333333333345</v>
      </c>
      <c r="O2">
        <v>0.53145195074080709</v>
      </c>
      <c r="P2">
        <v>0.52301791275395126</v>
      </c>
      <c r="Q2" t="s">
        <v>179</v>
      </c>
      <c r="R2" t="s">
        <v>179</v>
      </c>
      <c r="S2" t="s">
        <v>179</v>
      </c>
      <c r="T2" t="s">
        <v>179</v>
      </c>
      <c r="U2" t="s">
        <v>179</v>
      </c>
      <c r="V2" t="s">
        <v>179</v>
      </c>
      <c r="W2" t="s">
        <v>179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 t="s">
        <v>179</v>
      </c>
      <c r="AN2" t="s">
        <v>179</v>
      </c>
      <c r="AO2" t="s">
        <v>179</v>
      </c>
      <c r="AP2" t="s">
        <v>179</v>
      </c>
      <c r="AQ2" t="s">
        <v>179</v>
      </c>
      <c r="AR2" t="s">
        <v>179</v>
      </c>
      <c r="AS2" t="s">
        <v>179</v>
      </c>
      <c r="AT2" t="s">
        <v>179</v>
      </c>
      <c r="AU2" t="s">
        <v>179</v>
      </c>
      <c r="AV2" t="s">
        <v>179</v>
      </c>
      <c r="AW2" t="s">
        <v>179</v>
      </c>
      <c r="AX2" t="s">
        <v>179</v>
      </c>
    </row>
    <row r="3" spans="1:50" x14ac:dyDescent="0.2">
      <c r="A3" t="s">
        <v>224</v>
      </c>
      <c r="B3">
        <v>774</v>
      </c>
      <c r="C3">
        <v>1133</v>
      </c>
      <c r="D3">
        <v>0.53245200602901732</v>
      </c>
      <c r="E3">
        <v>0.34208633339630451</v>
      </c>
      <c r="F3">
        <v>11</v>
      </c>
      <c r="G3" t="s">
        <v>179</v>
      </c>
      <c r="H3">
        <v>0.53245200602901732</v>
      </c>
      <c r="I3">
        <v>0.58192222012190697</v>
      </c>
      <c r="J3">
        <v>0.55824530085861612</v>
      </c>
      <c r="K3">
        <v>0.54263300120254254</v>
      </c>
      <c r="L3">
        <v>0.47759137494063131</v>
      </c>
      <c r="M3">
        <v>0.54521156112153135</v>
      </c>
      <c r="N3">
        <v>0.54055395880350421</v>
      </c>
      <c r="O3">
        <v>0.53672960436153561</v>
      </c>
      <c r="P3">
        <v>0.51400102459888108</v>
      </c>
      <c r="Q3">
        <v>0.48210061474076421</v>
      </c>
      <c r="R3">
        <v>0.3883724130125405</v>
      </c>
      <c r="S3">
        <v>0.34208633339630451</v>
      </c>
      <c r="T3" t="s">
        <v>179</v>
      </c>
      <c r="U3" t="s">
        <v>179</v>
      </c>
      <c r="V3" t="s">
        <v>179</v>
      </c>
      <c r="W3">
        <v>0.5144315381907778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179</v>
      </c>
      <c r="AK3" t="s">
        <v>179</v>
      </c>
      <c r="AL3" t="s">
        <v>179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 t="s">
        <v>224</v>
      </c>
      <c r="B4">
        <v>767</v>
      </c>
      <c r="C4">
        <v>1193</v>
      </c>
      <c r="D4">
        <v>0.52804187554019022</v>
      </c>
      <c r="E4">
        <v>0.34890781674262994</v>
      </c>
      <c r="F4">
        <v>10</v>
      </c>
      <c r="G4" t="s">
        <v>179</v>
      </c>
      <c r="H4">
        <v>0.52804187554019022</v>
      </c>
      <c r="I4">
        <v>0.52226323656619744</v>
      </c>
      <c r="J4">
        <v>0.51002988156209994</v>
      </c>
      <c r="K4">
        <v>0.47656176384893495</v>
      </c>
      <c r="L4">
        <v>0.48083491707383819</v>
      </c>
      <c r="M4">
        <v>0.49724430566839395</v>
      </c>
      <c r="N4">
        <v>0.51225569331918008</v>
      </c>
      <c r="O4">
        <v>0.51251923345922512</v>
      </c>
      <c r="P4">
        <v>0.49572102348869285</v>
      </c>
      <c r="Q4">
        <v>0.41294331404693019</v>
      </c>
      <c r="R4">
        <v>0.34890781674262994</v>
      </c>
      <c r="S4" t="s">
        <v>179</v>
      </c>
      <c r="T4" t="s">
        <v>179</v>
      </c>
      <c r="U4" t="s">
        <v>179</v>
      </c>
      <c r="V4" t="s">
        <v>179</v>
      </c>
      <c r="W4" t="s">
        <v>179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179</v>
      </c>
      <c r="AJ4" t="s">
        <v>179</v>
      </c>
      <c r="AK4" t="s">
        <v>179</v>
      </c>
      <c r="AL4" t="s">
        <v>179</v>
      </c>
      <c r="AM4">
        <v>0</v>
      </c>
      <c r="AN4">
        <v>0</v>
      </c>
      <c r="AO4">
        <v>0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</row>
    <row r="5" spans="1:50" x14ac:dyDescent="0.2">
      <c r="A5" t="s">
        <v>224</v>
      </c>
      <c r="B5">
        <v>759</v>
      </c>
      <c r="C5">
        <v>1229</v>
      </c>
      <c r="D5">
        <v>0.5763991008864785</v>
      </c>
      <c r="E5">
        <v>0.3274343864592057</v>
      </c>
      <c r="F5">
        <v>11</v>
      </c>
      <c r="G5" t="s">
        <v>179</v>
      </c>
      <c r="H5">
        <v>0.5763991008864785</v>
      </c>
      <c r="I5">
        <v>0.57906963482740204</v>
      </c>
      <c r="J5">
        <v>0.53706173508224408</v>
      </c>
      <c r="K5">
        <v>0.53273427471116808</v>
      </c>
      <c r="L5">
        <v>0.52520944377237266</v>
      </c>
      <c r="M5">
        <v>0.53261050987878222</v>
      </c>
      <c r="N5">
        <v>0.54167375488696246</v>
      </c>
      <c r="O5">
        <v>0.53189378154716205</v>
      </c>
      <c r="P5">
        <v>0.51696229776586644</v>
      </c>
      <c r="Q5">
        <v>0.4605641263153939</v>
      </c>
      <c r="R5">
        <v>0.40956205540465651</v>
      </c>
      <c r="S5">
        <v>0.3274343864592057</v>
      </c>
      <c r="T5" t="s">
        <v>179</v>
      </c>
      <c r="U5" t="s">
        <v>179</v>
      </c>
      <c r="V5" t="s">
        <v>179</v>
      </c>
      <c r="W5">
        <v>0.55366304124769139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179</v>
      </c>
      <c r="AK5" t="s">
        <v>179</v>
      </c>
      <c r="AL5" t="s">
        <v>179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 t="s">
        <v>224</v>
      </c>
      <c r="B6">
        <v>766</v>
      </c>
      <c r="C6">
        <v>1399</v>
      </c>
      <c r="D6">
        <v>0.54415673139083653</v>
      </c>
      <c r="E6">
        <v>0.34379713629622255</v>
      </c>
      <c r="F6">
        <v>11</v>
      </c>
      <c r="G6" t="s">
        <v>179</v>
      </c>
      <c r="H6">
        <v>0.54415673139083653</v>
      </c>
      <c r="I6">
        <v>0.52235710166919569</v>
      </c>
      <c r="J6">
        <v>0.51190265270753388</v>
      </c>
      <c r="K6">
        <v>0.50474216850828735</v>
      </c>
      <c r="L6">
        <v>0.50785271215520655</v>
      </c>
      <c r="M6">
        <v>0.50135256312602605</v>
      </c>
      <c r="N6">
        <v>0.5086543648648395</v>
      </c>
      <c r="O6">
        <v>0.5130730681996466</v>
      </c>
      <c r="P6">
        <v>0.49050602392480774</v>
      </c>
      <c r="Q6">
        <v>0.4791687115933071</v>
      </c>
      <c r="R6">
        <v>0.42902308787858684</v>
      </c>
      <c r="S6">
        <v>0.34379713629622255</v>
      </c>
      <c r="T6" t="s">
        <v>179</v>
      </c>
      <c r="U6" t="s">
        <v>179</v>
      </c>
      <c r="V6" t="s">
        <v>179</v>
      </c>
      <c r="W6">
        <v>0.54373309299999995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179</v>
      </c>
      <c r="AK6" t="s">
        <v>179</v>
      </c>
      <c r="AL6" t="s">
        <v>179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 t="s">
        <v>224</v>
      </c>
      <c r="B7">
        <v>762</v>
      </c>
      <c r="C7">
        <v>2509</v>
      </c>
      <c r="D7">
        <v>0.59173283058566761</v>
      </c>
      <c r="E7">
        <v>0.30466666666666664</v>
      </c>
      <c r="F7">
        <v>9</v>
      </c>
      <c r="G7" t="s">
        <v>179</v>
      </c>
      <c r="H7">
        <v>0.59173283058566761</v>
      </c>
      <c r="I7">
        <v>0.57505639252071727</v>
      </c>
      <c r="J7">
        <v>0.53701294767297947</v>
      </c>
      <c r="K7">
        <v>0.53778253380308927</v>
      </c>
      <c r="L7">
        <v>0.54453128618244995</v>
      </c>
      <c r="M7">
        <v>0.53089907810651127</v>
      </c>
      <c r="N7">
        <v>0.54458912400118376</v>
      </c>
      <c r="O7">
        <v>0.53730065537139748</v>
      </c>
      <c r="P7">
        <v>0.52014756741884793</v>
      </c>
      <c r="Q7">
        <v>0.30466666666666664</v>
      </c>
      <c r="R7" t="s">
        <v>179</v>
      </c>
      <c r="S7" t="s">
        <v>179</v>
      </c>
      <c r="T7" t="s">
        <v>179</v>
      </c>
      <c r="U7" t="s">
        <v>179</v>
      </c>
      <c r="V7" t="s">
        <v>179</v>
      </c>
      <c r="W7">
        <v>0.55057401812688822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s">
        <v>179</v>
      </c>
      <c r="AI7" t="s">
        <v>179</v>
      </c>
      <c r="AJ7" t="s">
        <v>179</v>
      </c>
      <c r="AK7" t="s">
        <v>179</v>
      </c>
      <c r="AL7" t="s">
        <v>179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">
      <c r="A8" t="s">
        <v>224</v>
      </c>
      <c r="B8">
        <v>914</v>
      </c>
      <c r="C8">
        <v>2600</v>
      </c>
      <c r="D8">
        <v>0.5083324157963981</v>
      </c>
      <c r="E8">
        <v>0.32766666666666672</v>
      </c>
      <c r="F8">
        <v>10</v>
      </c>
      <c r="G8" t="s">
        <v>179</v>
      </c>
      <c r="H8">
        <v>0.5083324157963981</v>
      </c>
      <c r="I8">
        <v>0.52442310261906266</v>
      </c>
      <c r="J8">
        <v>0.51554740642890318</v>
      </c>
      <c r="K8">
        <v>0.49440828905303741</v>
      </c>
      <c r="L8">
        <v>0.4936395479653396</v>
      </c>
      <c r="M8">
        <v>0.49500441644562337</v>
      </c>
      <c r="N8">
        <v>0.48734295247716586</v>
      </c>
      <c r="O8">
        <v>0.50728964024481271</v>
      </c>
      <c r="P8">
        <v>0.47535010151491491</v>
      </c>
      <c r="Q8">
        <v>0.41489825334639246</v>
      </c>
      <c r="R8">
        <v>0.32766666666666672</v>
      </c>
      <c r="S8" t="s">
        <v>179</v>
      </c>
      <c r="T8" t="s">
        <v>179</v>
      </c>
      <c r="U8" t="s">
        <v>179</v>
      </c>
      <c r="V8" t="s">
        <v>179</v>
      </c>
      <c r="W8" t="s">
        <v>179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179</v>
      </c>
      <c r="AJ8" t="s">
        <v>179</v>
      </c>
      <c r="AK8" t="s">
        <v>179</v>
      </c>
      <c r="AL8" t="s">
        <v>179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</row>
    <row r="9" spans="1:50" x14ac:dyDescent="0.2">
      <c r="A9" t="s">
        <v>224</v>
      </c>
      <c r="B9">
        <v>673</v>
      </c>
      <c r="C9">
        <v>2769</v>
      </c>
      <c r="D9">
        <v>0.55404773892110593</v>
      </c>
      <c r="E9">
        <v>0.33502392164161771</v>
      </c>
      <c r="F9">
        <v>7</v>
      </c>
      <c r="G9" t="s">
        <v>179</v>
      </c>
      <c r="H9">
        <v>0.55404773892110593</v>
      </c>
      <c r="I9">
        <v>0.58336922976825301</v>
      </c>
      <c r="J9">
        <v>0.52278984398898753</v>
      </c>
      <c r="K9">
        <v>0.55629028363919608</v>
      </c>
      <c r="L9">
        <v>0.54872000125885478</v>
      </c>
      <c r="M9">
        <v>0.48084924743024959</v>
      </c>
      <c r="N9">
        <v>0.47431254653339683</v>
      </c>
      <c r="O9">
        <v>0.33502392164161771</v>
      </c>
      <c r="P9" t="s">
        <v>179</v>
      </c>
      <c r="Q9" t="s">
        <v>179</v>
      </c>
      <c r="R9" t="s">
        <v>179</v>
      </c>
      <c r="S9" t="s">
        <v>179</v>
      </c>
      <c r="T9" t="s">
        <v>179</v>
      </c>
      <c r="U9" t="s">
        <v>179</v>
      </c>
      <c r="V9" t="s">
        <v>179</v>
      </c>
      <c r="W9">
        <v>0.49564440473531379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179</v>
      </c>
      <c r="AG9" t="s">
        <v>179</v>
      </c>
      <c r="AH9" t="s">
        <v>179</v>
      </c>
      <c r="AI9" t="s">
        <v>179</v>
      </c>
      <c r="AJ9" t="s">
        <v>179</v>
      </c>
      <c r="AK9" t="s">
        <v>179</v>
      </c>
      <c r="AL9" t="s">
        <v>179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">
      <c r="A10" t="s">
        <v>224</v>
      </c>
      <c r="B10">
        <v>660</v>
      </c>
      <c r="C10">
        <v>2822</v>
      </c>
      <c r="D10">
        <v>0.54666666666666675</v>
      </c>
      <c r="E10">
        <v>0.37821823187037917</v>
      </c>
      <c r="F10">
        <v>7</v>
      </c>
      <c r="G10" t="s">
        <v>179</v>
      </c>
      <c r="H10">
        <v>0.54666666666666675</v>
      </c>
      <c r="I10">
        <v>0.55399999999999994</v>
      </c>
      <c r="J10">
        <v>0.53317503934937971</v>
      </c>
      <c r="K10">
        <v>0.496</v>
      </c>
      <c r="L10">
        <v>0.49263597285067873</v>
      </c>
      <c r="M10">
        <v>0.48283808034737613</v>
      </c>
      <c r="N10">
        <v>0.46836404364603862</v>
      </c>
      <c r="O10">
        <v>0.37821823187037917</v>
      </c>
      <c r="P10" t="s">
        <v>179</v>
      </c>
      <c r="Q10" t="s">
        <v>179</v>
      </c>
      <c r="R10" t="s">
        <v>179</v>
      </c>
      <c r="S10" t="s">
        <v>179</v>
      </c>
      <c r="T10" t="s">
        <v>179</v>
      </c>
      <c r="U10" t="s">
        <v>179</v>
      </c>
      <c r="V10" t="s">
        <v>179</v>
      </c>
      <c r="W10" t="s">
        <v>179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179</v>
      </c>
      <c r="AG10" t="s">
        <v>179</v>
      </c>
      <c r="AH10" t="s">
        <v>179</v>
      </c>
      <c r="AI10" t="s">
        <v>179</v>
      </c>
      <c r="AJ10" t="s">
        <v>179</v>
      </c>
      <c r="AK10" t="s">
        <v>179</v>
      </c>
      <c r="AL10" t="s">
        <v>179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</row>
    <row r="11" spans="1:50" x14ac:dyDescent="0.2">
      <c r="A11" t="s">
        <v>224</v>
      </c>
      <c r="B11">
        <v>580</v>
      </c>
      <c r="C11">
        <v>3062</v>
      </c>
      <c r="D11">
        <v>0.58416490513000707</v>
      </c>
      <c r="E11">
        <v>0.38</v>
      </c>
      <c r="F11">
        <v>8</v>
      </c>
      <c r="G11" t="s">
        <v>179</v>
      </c>
      <c r="H11">
        <v>0.58416490513000707</v>
      </c>
      <c r="I11">
        <v>0.60129342758309523</v>
      </c>
      <c r="J11">
        <v>0.58129185714221676</v>
      </c>
      <c r="K11">
        <v>0.5914796005601709</v>
      </c>
      <c r="L11">
        <v>0.54785919608424805</v>
      </c>
      <c r="M11">
        <v>0.54004712014134271</v>
      </c>
      <c r="N11">
        <v>0.53652681250189971</v>
      </c>
      <c r="O11">
        <v>0.41447049647914708</v>
      </c>
      <c r="P11">
        <v>0.38</v>
      </c>
      <c r="Q11" t="s">
        <v>179</v>
      </c>
      <c r="R11" t="s">
        <v>179</v>
      </c>
      <c r="S11" t="s">
        <v>179</v>
      </c>
      <c r="T11" t="s">
        <v>179</v>
      </c>
      <c r="U11" t="s">
        <v>179</v>
      </c>
      <c r="V11" t="s">
        <v>179</v>
      </c>
      <c r="W11" t="s">
        <v>179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179</v>
      </c>
      <c r="AH11" t="s">
        <v>179</v>
      </c>
      <c r="AI11" t="s">
        <v>179</v>
      </c>
      <c r="AJ11" t="s">
        <v>179</v>
      </c>
      <c r="AK11" t="s">
        <v>179</v>
      </c>
      <c r="AL11" t="s">
        <v>179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</row>
    <row r="12" spans="1:50" x14ac:dyDescent="0.2">
      <c r="A12" t="s">
        <v>224</v>
      </c>
      <c r="B12">
        <v>775</v>
      </c>
      <c r="C12">
        <v>3776</v>
      </c>
      <c r="D12">
        <v>0.57537473460720157</v>
      </c>
      <c r="E12">
        <v>0.47772808828777463</v>
      </c>
      <c r="F12" t="s">
        <v>179</v>
      </c>
      <c r="G12">
        <v>9</v>
      </c>
      <c r="H12">
        <v>0.57537473460720157</v>
      </c>
      <c r="I12">
        <v>0.55259876728957114</v>
      </c>
      <c r="J12">
        <v>0.55617131398570796</v>
      </c>
      <c r="K12">
        <v>0.51686480016418179</v>
      </c>
      <c r="L12">
        <v>0.53177150192554556</v>
      </c>
      <c r="M12">
        <v>0.51455497721701404</v>
      </c>
      <c r="N12">
        <v>0.51524390012978227</v>
      </c>
      <c r="O12">
        <v>0.49815080387379701</v>
      </c>
      <c r="P12">
        <v>0.47772808828777463</v>
      </c>
      <c r="Q12" t="s">
        <v>179</v>
      </c>
      <c r="R12" t="s">
        <v>179</v>
      </c>
      <c r="S12" t="s">
        <v>179</v>
      </c>
      <c r="T12" t="s">
        <v>179</v>
      </c>
      <c r="U12" t="s">
        <v>179</v>
      </c>
      <c r="V12" t="s">
        <v>179</v>
      </c>
      <c r="W12" t="s">
        <v>179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 t="s">
        <v>179</v>
      </c>
      <c r="AN12" t="s">
        <v>179</v>
      </c>
      <c r="AO12" t="s">
        <v>179</v>
      </c>
      <c r="AP12" t="s">
        <v>179</v>
      </c>
      <c r="AQ12" t="s">
        <v>179</v>
      </c>
      <c r="AR12" t="s">
        <v>179</v>
      </c>
      <c r="AS12" t="s">
        <v>179</v>
      </c>
      <c r="AT12" t="s">
        <v>179</v>
      </c>
      <c r="AU12" t="s">
        <v>179</v>
      </c>
      <c r="AV12" t="s">
        <v>179</v>
      </c>
      <c r="AW12" t="s">
        <v>179</v>
      </c>
      <c r="AX12" t="s">
        <v>179</v>
      </c>
    </row>
    <row r="13" spans="1:50" x14ac:dyDescent="0.2">
      <c r="A13" t="s">
        <v>224</v>
      </c>
      <c r="B13">
        <v>753</v>
      </c>
      <c r="C13">
        <v>3891</v>
      </c>
      <c r="D13">
        <v>0.56164794007490626</v>
      </c>
      <c r="E13">
        <v>0.33463213385285356</v>
      </c>
      <c r="F13">
        <v>9</v>
      </c>
      <c r="G13" t="s">
        <v>179</v>
      </c>
      <c r="H13">
        <v>0.56164794007490626</v>
      </c>
      <c r="I13">
        <v>0.55817393236572099</v>
      </c>
      <c r="J13">
        <v>0.52869336835193692</v>
      </c>
      <c r="K13">
        <v>0.53431604080242401</v>
      </c>
      <c r="L13">
        <v>0.53673755252769639</v>
      </c>
      <c r="M13">
        <v>0.52663033277654392</v>
      </c>
      <c r="N13">
        <v>0.51492425378731055</v>
      </c>
      <c r="O13">
        <v>0.49136492493376505</v>
      </c>
      <c r="P13">
        <v>0.4004059277240003</v>
      </c>
      <c r="Q13">
        <v>0.33463213385285356</v>
      </c>
      <c r="R13" t="s">
        <v>179</v>
      </c>
      <c r="S13" t="s">
        <v>179</v>
      </c>
      <c r="T13" t="s">
        <v>179</v>
      </c>
      <c r="U13" t="s">
        <v>179</v>
      </c>
      <c r="V13" t="s">
        <v>179</v>
      </c>
      <c r="W13" t="s">
        <v>179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s">
        <v>179</v>
      </c>
      <c r="AI13" t="s">
        <v>179</v>
      </c>
      <c r="AJ13" t="s">
        <v>179</v>
      </c>
      <c r="AK13" t="s">
        <v>179</v>
      </c>
      <c r="AL13" t="s">
        <v>179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</row>
    <row r="14" spans="1:50" x14ac:dyDescent="0.2">
      <c r="A14" t="s">
        <v>224</v>
      </c>
      <c r="B14">
        <v>754</v>
      </c>
      <c r="C14">
        <v>4452</v>
      </c>
      <c r="D14">
        <v>0.52922077922077926</v>
      </c>
      <c r="E14">
        <v>0.34725169178416249</v>
      </c>
      <c r="F14">
        <v>9</v>
      </c>
      <c r="G14" t="s">
        <v>179</v>
      </c>
      <c r="H14">
        <v>0.52922077922077926</v>
      </c>
      <c r="I14">
        <v>0.5904635842399294</v>
      </c>
      <c r="J14">
        <v>0.54661211999661286</v>
      </c>
      <c r="K14">
        <v>0.5682965770421502</v>
      </c>
      <c r="L14">
        <v>0.50250870621283683</v>
      </c>
      <c r="M14">
        <v>0.54171036065539913</v>
      </c>
      <c r="N14">
        <v>0.55384348348400325</v>
      </c>
      <c r="O14">
        <v>0.53612366461312266</v>
      </c>
      <c r="P14">
        <v>0.46051045784031469</v>
      </c>
      <c r="Q14">
        <v>0.34725169178416249</v>
      </c>
      <c r="R14" t="s">
        <v>179</v>
      </c>
      <c r="S14" t="s">
        <v>179</v>
      </c>
      <c r="T14" t="s">
        <v>179</v>
      </c>
      <c r="U14" t="s">
        <v>179</v>
      </c>
      <c r="V14" t="s">
        <v>179</v>
      </c>
      <c r="W14">
        <v>0.47709690553745926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s">
        <v>179</v>
      </c>
      <c r="AI14" t="s">
        <v>179</v>
      </c>
      <c r="AJ14" t="s">
        <v>179</v>
      </c>
      <c r="AK14" t="s">
        <v>179</v>
      </c>
      <c r="AL14" t="s">
        <v>179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">
      <c r="A15" t="s">
        <v>224</v>
      </c>
      <c r="B15">
        <v>657</v>
      </c>
      <c r="C15">
        <v>4489</v>
      </c>
      <c r="D15">
        <v>0.46666666666666662</v>
      </c>
      <c r="E15">
        <v>0.28817326600609766</v>
      </c>
      <c r="F15">
        <v>6</v>
      </c>
      <c r="G15" t="s">
        <v>179</v>
      </c>
      <c r="H15">
        <v>0.46666666666666662</v>
      </c>
      <c r="I15">
        <v>0.46700000000000003</v>
      </c>
      <c r="J15">
        <v>0.45583368047079892</v>
      </c>
      <c r="K15">
        <v>0.45281763020439808</v>
      </c>
      <c r="L15">
        <v>0.44971231553642199</v>
      </c>
      <c r="M15">
        <v>0.36621140652713718</v>
      </c>
      <c r="N15">
        <v>0.28817326600609766</v>
      </c>
      <c r="O15" t="s">
        <v>179</v>
      </c>
      <c r="P15" t="s">
        <v>179</v>
      </c>
      <c r="Q15" t="s">
        <v>179</v>
      </c>
      <c r="R15" t="s">
        <v>179</v>
      </c>
      <c r="S15" t="s">
        <v>179</v>
      </c>
      <c r="T15" t="s">
        <v>179</v>
      </c>
      <c r="U15" t="s">
        <v>179</v>
      </c>
      <c r="V15" t="s">
        <v>179</v>
      </c>
      <c r="W15" t="s">
        <v>179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179</v>
      </c>
      <c r="AF15" t="s">
        <v>179</v>
      </c>
      <c r="AG15" t="s">
        <v>179</v>
      </c>
      <c r="AH15" t="s">
        <v>179</v>
      </c>
      <c r="AI15" t="s">
        <v>179</v>
      </c>
      <c r="AJ15" t="s">
        <v>179</v>
      </c>
      <c r="AK15" t="s">
        <v>179</v>
      </c>
      <c r="AL15" t="s">
        <v>179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</row>
    <row r="16" spans="1:50" x14ac:dyDescent="0.2">
      <c r="A16" t="s">
        <v>224</v>
      </c>
      <c r="B16">
        <v>668</v>
      </c>
      <c r="C16">
        <v>4522</v>
      </c>
      <c r="D16">
        <v>0.56827184922575213</v>
      </c>
      <c r="E16">
        <v>0.24</v>
      </c>
      <c r="F16">
        <v>6</v>
      </c>
      <c r="G16" t="s">
        <v>179</v>
      </c>
      <c r="H16">
        <v>0.56827184922575213</v>
      </c>
      <c r="I16">
        <v>0.57022931511056518</v>
      </c>
      <c r="J16">
        <v>0.51158637389405048</v>
      </c>
      <c r="K16">
        <v>0.53195980145899968</v>
      </c>
      <c r="L16">
        <v>0.53318748338481325</v>
      </c>
      <c r="M16">
        <v>0.50755498216233019</v>
      </c>
      <c r="N16">
        <v>0.24</v>
      </c>
      <c r="O16" t="s">
        <v>179</v>
      </c>
      <c r="P16" t="s">
        <v>179</v>
      </c>
      <c r="Q16" t="s">
        <v>179</v>
      </c>
      <c r="R16" t="s">
        <v>179</v>
      </c>
      <c r="S16" t="s">
        <v>179</v>
      </c>
      <c r="T16" t="s">
        <v>179</v>
      </c>
      <c r="U16" t="s">
        <v>179</v>
      </c>
      <c r="V16" t="s">
        <v>179</v>
      </c>
      <c r="W16">
        <v>0.50844323924565504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179</v>
      </c>
      <c r="AF16" t="s">
        <v>179</v>
      </c>
      <c r="AG16" t="s">
        <v>179</v>
      </c>
      <c r="AH16" t="s">
        <v>179</v>
      </c>
      <c r="AI16" t="s">
        <v>179</v>
      </c>
      <c r="AJ16" t="s">
        <v>179</v>
      </c>
      <c r="AK16" t="s">
        <v>179</v>
      </c>
      <c r="AL16" t="s">
        <v>179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">
      <c r="A17" t="s">
        <v>224</v>
      </c>
      <c r="B17">
        <v>768</v>
      </c>
      <c r="C17">
        <v>4704</v>
      </c>
      <c r="D17">
        <v>0.5850863690781597</v>
      </c>
      <c r="E17">
        <v>0.40744178247768997</v>
      </c>
      <c r="F17">
        <v>13</v>
      </c>
      <c r="G17" t="s">
        <v>179</v>
      </c>
      <c r="H17">
        <v>0.5850863690781597</v>
      </c>
      <c r="I17">
        <v>0.58672767135133286</v>
      </c>
      <c r="J17">
        <v>0.55565409953245071</v>
      </c>
      <c r="K17">
        <v>0.56021946646663046</v>
      </c>
      <c r="L17">
        <v>0.55325937289780391</v>
      </c>
      <c r="M17">
        <v>0.55817095042363996</v>
      </c>
      <c r="N17">
        <v>0.56636629683030404</v>
      </c>
      <c r="O17">
        <v>0.55937214965328175</v>
      </c>
      <c r="P17">
        <v>0.54520365683410787</v>
      </c>
      <c r="Q17">
        <v>0.53197613231733032</v>
      </c>
      <c r="R17">
        <v>0.49549549549549554</v>
      </c>
      <c r="S17">
        <v>0.42424435118265391</v>
      </c>
      <c r="T17">
        <v>0.4358586660534946</v>
      </c>
      <c r="U17">
        <v>0.40744178247768997</v>
      </c>
      <c r="V17" t="s">
        <v>179</v>
      </c>
      <c r="W17">
        <v>0.57785595260137013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t="s">
        <v>179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">
      <c r="A18" t="s">
        <v>224</v>
      </c>
      <c r="B18">
        <v>656</v>
      </c>
      <c r="C18">
        <v>4782</v>
      </c>
      <c r="D18">
        <v>0.59381997313031798</v>
      </c>
      <c r="E18">
        <v>0.32512460624302214</v>
      </c>
      <c r="F18">
        <v>9</v>
      </c>
      <c r="G18" t="s">
        <v>179</v>
      </c>
      <c r="H18">
        <v>0.59381997313031798</v>
      </c>
      <c r="I18">
        <v>0.59014843334664102</v>
      </c>
      <c r="J18">
        <v>0.55084314274571289</v>
      </c>
      <c r="K18">
        <v>0.55887007605807915</v>
      </c>
      <c r="L18">
        <v>0.56090053780049975</v>
      </c>
      <c r="M18">
        <v>0.55536257683298929</v>
      </c>
      <c r="N18">
        <v>0.5329582407026211</v>
      </c>
      <c r="O18">
        <v>0.52137483435571497</v>
      </c>
      <c r="P18">
        <v>0.44679978595069264</v>
      </c>
      <c r="Q18">
        <v>0.32512460624302214</v>
      </c>
      <c r="R18" t="s">
        <v>179</v>
      </c>
      <c r="S18" t="s">
        <v>179</v>
      </c>
      <c r="T18" t="s">
        <v>179</v>
      </c>
      <c r="U18" t="s">
        <v>179</v>
      </c>
      <c r="V18" t="s">
        <v>179</v>
      </c>
      <c r="W18">
        <v>0.5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s">
        <v>179</v>
      </c>
      <c r="AI18" t="s">
        <v>179</v>
      </c>
      <c r="AJ18" t="s">
        <v>179</v>
      </c>
      <c r="AK18" t="s">
        <v>179</v>
      </c>
      <c r="AL18" t="s">
        <v>179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">
      <c r="A19" t="s">
        <v>224</v>
      </c>
      <c r="B19">
        <v>912</v>
      </c>
      <c r="C19">
        <v>5175</v>
      </c>
      <c r="D19">
        <v>0.52639983001081747</v>
      </c>
      <c r="E19">
        <v>0.12655174713362272</v>
      </c>
      <c r="F19">
        <v>10</v>
      </c>
      <c r="G19" t="s">
        <v>179</v>
      </c>
      <c r="H19">
        <v>0.52639983001081747</v>
      </c>
      <c r="I19">
        <v>0.53990096400389975</v>
      </c>
      <c r="J19">
        <v>0.51777218024069405</v>
      </c>
      <c r="K19">
        <v>0.52065010029316472</v>
      </c>
      <c r="L19">
        <v>0.50364751677062902</v>
      </c>
      <c r="M19">
        <v>0.50296375715205632</v>
      </c>
      <c r="N19">
        <v>0.50244098850020602</v>
      </c>
      <c r="O19">
        <v>0.49654444027179845</v>
      </c>
      <c r="P19">
        <v>0.4730352823123733</v>
      </c>
      <c r="Q19">
        <v>0.42288014040172545</v>
      </c>
      <c r="R19">
        <v>0.12655174713362272</v>
      </c>
      <c r="S19" t="s">
        <v>179</v>
      </c>
      <c r="T19" t="s">
        <v>179</v>
      </c>
      <c r="U19" t="s">
        <v>179</v>
      </c>
      <c r="V19" t="s">
        <v>179</v>
      </c>
      <c r="W19" t="s">
        <v>179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179</v>
      </c>
      <c r="AJ19" t="s">
        <v>179</v>
      </c>
      <c r="AK19" t="s">
        <v>179</v>
      </c>
      <c r="AL19" t="s">
        <v>179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</row>
    <row r="20" spans="1:50" x14ac:dyDescent="0.2">
      <c r="A20" t="s">
        <v>224</v>
      </c>
      <c r="B20">
        <v>751</v>
      </c>
      <c r="C20">
        <v>5287</v>
      </c>
      <c r="D20">
        <v>0.51852286433087036</v>
      </c>
      <c r="E20">
        <v>0.35833479813895613</v>
      </c>
      <c r="F20">
        <v>11</v>
      </c>
      <c r="G20" t="s">
        <v>179</v>
      </c>
      <c r="H20">
        <v>0.51852286433087036</v>
      </c>
      <c r="I20">
        <v>0.51779761543067859</v>
      </c>
      <c r="J20">
        <v>0.5033333333333333</v>
      </c>
      <c r="K20">
        <v>0.5034348864994026</v>
      </c>
      <c r="L20">
        <v>0.51557590896848904</v>
      </c>
      <c r="M20">
        <v>0.50942934606906687</v>
      </c>
      <c r="N20">
        <v>0.51124032438846789</v>
      </c>
      <c r="O20">
        <v>0.51444765447092755</v>
      </c>
      <c r="P20">
        <v>0.49786311624713708</v>
      </c>
      <c r="Q20">
        <v>0.40581589183182082</v>
      </c>
      <c r="R20">
        <v>0.38369883771929819</v>
      </c>
      <c r="S20">
        <v>0.35833479813895613</v>
      </c>
      <c r="T20" t="s">
        <v>179</v>
      </c>
      <c r="U20" t="s">
        <v>179</v>
      </c>
      <c r="V20" t="s">
        <v>179</v>
      </c>
      <c r="W20" t="s">
        <v>179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179</v>
      </c>
      <c r="AK20" t="s">
        <v>179</v>
      </c>
      <c r="AL20" t="s">
        <v>179</v>
      </c>
      <c r="AM20">
        <v>0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</row>
    <row r="21" spans="1:50" x14ac:dyDescent="0.2">
      <c r="A21" t="s">
        <v>224</v>
      </c>
      <c r="B21">
        <v>916</v>
      </c>
      <c r="C21">
        <v>5357</v>
      </c>
      <c r="D21">
        <v>0.53776806652108189</v>
      </c>
      <c r="E21">
        <v>0.26099999999999995</v>
      </c>
      <c r="F21">
        <v>10</v>
      </c>
      <c r="G21" t="s">
        <v>179</v>
      </c>
      <c r="H21">
        <v>0.53776806652108189</v>
      </c>
      <c r="I21">
        <v>0.55986651778132024</v>
      </c>
      <c r="J21">
        <v>0.53224070221252784</v>
      </c>
      <c r="K21">
        <v>0.52593854257710537</v>
      </c>
      <c r="L21">
        <v>0.52552625466018033</v>
      </c>
      <c r="M21">
        <v>0.51684005985463866</v>
      </c>
      <c r="N21">
        <v>0.52211170642976512</v>
      </c>
      <c r="O21">
        <v>0.51717556507219553</v>
      </c>
      <c r="P21">
        <v>0.49051319870549087</v>
      </c>
      <c r="Q21">
        <v>0.4627464046959332</v>
      </c>
      <c r="R21">
        <v>0.26099999999999995</v>
      </c>
      <c r="S21" t="s">
        <v>179</v>
      </c>
      <c r="T21" t="s">
        <v>179</v>
      </c>
      <c r="U21" t="s">
        <v>179</v>
      </c>
      <c r="V21" t="s">
        <v>179</v>
      </c>
      <c r="W21" t="s">
        <v>179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179</v>
      </c>
      <c r="AJ21" t="s">
        <v>179</v>
      </c>
      <c r="AK21" t="s">
        <v>179</v>
      </c>
      <c r="AL21" t="s">
        <v>179</v>
      </c>
      <c r="AM21">
        <v>0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</row>
    <row r="22" spans="1:50" x14ac:dyDescent="0.2">
      <c r="A22" t="s">
        <v>224</v>
      </c>
      <c r="B22">
        <v>915</v>
      </c>
      <c r="C22">
        <v>5377</v>
      </c>
      <c r="D22">
        <v>0.55019661188373448</v>
      </c>
      <c r="E22">
        <v>0.3116666666666667</v>
      </c>
      <c r="F22">
        <v>9</v>
      </c>
      <c r="G22" t="s">
        <v>179</v>
      </c>
      <c r="H22">
        <v>0.55019661188373448</v>
      </c>
      <c r="I22">
        <v>0.55595580587364424</v>
      </c>
      <c r="J22">
        <v>0.55513878469617406</v>
      </c>
      <c r="K22">
        <v>0.52813386541047147</v>
      </c>
      <c r="L22">
        <v>0.51220144014368929</v>
      </c>
      <c r="M22">
        <v>0.51435960324406027</v>
      </c>
      <c r="N22">
        <v>0.50954879668052711</v>
      </c>
      <c r="O22">
        <v>0.50456057867274384</v>
      </c>
      <c r="P22">
        <v>0.47878564621410108</v>
      </c>
      <c r="Q22">
        <v>0.3116666666666667</v>
      </c>
      <c r="R22" t="s">
        <v>179</v>
      </c>
      <c r="S22" t="s">
        <v>179</v>
      </c>
      <c r="T22" t="s">
        <v>179</v>
      </c>
      <c r="U22" t="s">
        <v>179</v>
      </c>
      <c r="V22" t="s">
        <v>179</v>
      </c>
      <c r="W22" t="s">
        <v>179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s">
        <v>179</v>
      </c>
      <c r="AI22" t="s">
        <v>179</v>
      </c>
      <c r="AJ22" t="s">
        <v>179</v>
      </c>
      <c r="AK22" t="s">
        <v>179</v>
      </c>
      <c r="AL22" t="s">
        <v>179</v>
      </c>
      <c r="AM22">
        <v>0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</row>
    <row r="23" spans="1:50" x14ac:dyDescent="0.2">
      <c r="A23" t="s">
        <v>224</v>
      </c>
      <c r="B23">
        <v>772</v>
      </c>
      <c r="C23">
        <v>5497</v>
      </c>
      <c r="D23">
        <v>0.48415626427692859</v>
      </c>
      <c r="E23">
        <v>0.32933333333333331</v>
      </c>
      <c r="F23">
        <v>8</v>
      </c>
      <c r="G23" t="s">
        <v>179</v>
      </c>
      <c r="H23">
        <v>0.48415626427692859</v>
      </c>
      <c r="I23">
        <v>0.48948114255447212</v>
      </c>
      <c r="J23">
        <v>0.48900000000000005</v>
      </c>
      <c r="K23">
        <v>0.47300783491696524</v>
      </c>
      <c r="L23">
        <v>0.47</v>
      </c>
      <c r="M23">
        <v>0.46546531239099831</v>
      </c>
      <c r="N23">
        <v>0.46200000000000002</v>
      </c>
      <c r="O23">
        <v>0.39999999999999997</v>
      </c>
      <c r="P23">
        <v>0.32933333333333331</v>
      </c>
      <c r="Q23" t="s">
        <v>179</v>
      </c>
      <c r="R23" t="s">
        <v>179</v>
      </c>
      <c r="S23" t="s">
        <v>179</v>
      </c>
      <c r="T23" t="s">
        <v>179</v>
      </c>
      <c r="U23" t="s">
        <v>179</v>
      </c>
      <c r="V23" t="s">
        <v>179</v>
      </c>
      <c r="W23" t="s">
        <v>179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179</v>
      </c>
      <c r="AH23" t="s">
        <v>179</v>
      </c>
      <c r="AI23" t="s">
        <v>179</v>
      </c>
      <c r="AJ23" t="s">
        <v>179</v>
      </c>
      <c r="AK23" t="s">
        <v>179</v>
      </c>
      <c r="AL23" t="s">
        <v>179</v>
      </c>
      <c r="AM23">
        <v>0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</row>
    <row r="24" spans="1:50" x14ac:dyDescent="0.2">
      <c r="A24" t="s">
        <v>224</v>
      </c>
      <c r="B24">
        <v>760</v>
      </c>
      <c r="C24">
        <v>5572</v>
      </c>
      <c r="D24">
        <v>0.55235574408468235</v>
      </c>
      <c r="E24">
        <v>0.34473314638122465</v>
      </c>
      <c r="F24">
        <v>10</v>
      </c>
      <c r="G24" t="s">
        <v>179</v>
      </c>
      <c r="H24">
        <v>0.55235574408468235</v>
      </c>
      <c r="I24">
        <v>0.53445769971237167</v>
      </c>
      <c r="J24">
        <v>0.51608820271582445</v>
      </c>
      <c r="K24">
        <v>0.49997545775845786</v>
      </c>
      <c r="L24">
        <v>0.49287790921188829</v>
      </c>
      <c r="M24">
        <v>0.5117832292328176</v>
      </c>
      <c r="N24">
        <v>0.51369632772221796</v>
      </c>
      <c r="O24">
        <v>0.5156776071241731</v>
      </c>
      <c r="P24">
        <v>0.49845968994415008</v>
      </c>
      <c r="Q24">
        <v>0.42022168694241691</v>
      </c>
      <c r="R24">
        <v>0.34473314638122465</v>
      </c>
      <c r="S24" t="s">
        <v>179</v>
      </c>
      <c r="T24" t="s">
        <v>179</v>
      </c>
      <c r="U24" t="s">
        <v>179</v>
      </c>
      <c r="V24" t="s">
        <v>179</v>
      </c>
      <c r="W24">
        <v>0.48749849015581598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179</v>
      </c>
      <c r="AJ24" t="s">
        <v>179</v>
      </c>
      <c r="AK24" t="s">
        <v>179</v>
      </c>
      <c r="AL24" t="s">
        <v>179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 x14ac:dyDescent="0.2">
      <c r="A25" t="s">
        <v>224</v>
      </c>
      <c r="B25">
        <v>761</v>
      </c>
      <c r="C25">
        <v>6010</v>
      </c>
      <c r="D25">
        <v>0.53931633878224472</v>
      </c>
      <c r="E25">
        <v>0.25900000000000001</v>
      </c>
      <c r="F25">
        <v>14</v>
      </c>
      <c r="G25" t="s">
        <v>179</v>
      </c>
      <c r="H25">
        <v>0.53931633878224472</v>
      </c>
      <c r="I25">
        <v>0.54733333333333334</v>
      </c>
      <c r="J25">
        <v>0.52560986762496564</v>
      </c>
      <c r="K25">
        <v>0.52065191531256716</v>
      </c>
      <c r="L25">
        <v>0.53307689253465407</v>
      </c>
      <c r="M25">
        <v>0.53740157696208257</v>
      </c>
      <c r="N25">
        <v>0.54545454303213325</v>
      </c>
      <c r="O25">
        <v>0.53980991006818757</v>
      </c>
      <c r="P25">
        <v>0.5113669951284322</v>
      </c>
      <c r="Q25">
        <v>0.50602930007474489</v>
      </c>
      <c r="R25">
        <v>0.48855483679752632</v>
      </c>
      <c r="S25">
        <v>0.45599801363343073</v>
      </c>
      <c r="T25">
        <v>0.44133333333333336</v>
      </c>
      <c r="U25">
        <v>0.42133333333333334</v>
      </c>
      <c r="V25">
        <v>0.25900000000000001</v>
      </c>
      <c r="W25" t="s">
        <v>179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</row>
    <row r="26" spans="1:50" x14ac:dyDescent="0.2">
      <c r="A26" t="s">
        <v>224</v>
      </c>
      <c r="B26">
        <v>913</v>
      </c>
      <c r="C26">
        <v>6076</v>
      </c>
      <c r="D26">
        <v>0.54966666666666664</v>
      </c>
      <c r="E26">
        <v>0.38</v>
      </c>
      <c r="F26">
        <v>10</v>
      </c>
      <c r="G26" t="s">
        <v>179</v>
      </c>
      <c r="H26">
        <v>0.54966666666666664</v>
      </c>
      <c r="I26">
        <v>0.55333333333333334</v>
      </c>
      <c r="J26">
        <v>0.55441524310183166</v>
      </c>
      <c r="K26">
        <v>0.54745301650246414</v>
      </c>
      <c r="L26">
        <v>0.53735341069496156</v>
      </c>
      <c r="M26">
        <v>0.52696928274428279</v>
      </c>
      <c r="N26">
        <v>0.53562844987217595</v>
      </c>
      <c r="O26">
        <v>0.53012707198958509</v>
      </c>
      <c r="P26">
        <v>0.52268979708856167</v>
      </c>
      <c r="Q26">
        <v>0.48616285958924105</v>
      </c>
      <c r="R26">
        <v>0.38</v>
      </c>
      <c r="S26" t="s">
        <v>179</v>
      </c>
      <c r="T26" t="s">
        <v>179</v>
      </c>
      <c r="U26" t="s">
        <v>179</v>
      </c>
      <c r="V26" t="s">
        <v>179</v>
      </c>
      <c r="W26">
        <v>0.51466340813152633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179</v>
      </c>
      <c r="AJ26" t="s">
        <v>179</v>
      </c>
      <c r="AK26" t="s">
        <v>179</v>
      </c>
      <c r="AL26" t="s">
        <v>179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">
      <c r="A27" t="s">
        <v>224</v>
      </c>
      <c r="B27">
        <v>671</v>
      </c>
      <c r="C27">
        <v>6117</v>
      </c>
      <c r="D27">
        <v>0.56004957503407826</v>
      </c>
      <c r="E27">
        <v>0.51503672520661159</v>
      </c>
      <c r="F27" t="s">
        <v>179</v>
      </c>
      <c r="G27">
        <v>6</v>
      </c>
      <c r="H27">
        <v>0.56004957503407826</v>
      </c>
      <c r="I27">
        <v>0.56150506512301013</v>
      </c>
      <c r="J27">
        <v>0.51439012399720274</v>
      </c>
      <c r="K27">
        <v>0.53470786385979685</v>
      </c>
      <c r="L27">
        <v>0.53323705887186712</v>
      </c>
      <c r="M27">
        <v>0.51503672520661159</v>
      </c>
      <c r="N27" t="s">
        <v>179</v>
      </c>
      <c r="O27" t="s">
        <v>179</v>
      </c>
      <c r="P27" t="s">
        <v>179</v>
      </c>
      <c r="Q27" t="s">
        <v>179</v>
      </c>
      <c r="R27" t="s">
        <v>179</v>
      </c>
      <c r="S27" t="s">
        <v>179</v>
      </c>
      <c r="T27" t="s">
        <v>179</v>
      </c>
      <c r="U27" t="s">
        <v>179</v>
      </c>
      <c r="V27" t="s">
        <v>179</v>
      </c>
      <c r="W27" t="s">
        <v>179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 t="s">
        <v>179</v>
      </c>
      <c r="AN27" t="s">
        <v>179</v>
      </c>
      <c r="AO27" t="s">
        <v>179</v>
      </c>
      <c r="AP27" t="s">
        <v>179</v>
      </c>
      <c r="AQ27" t="s">
        <v>179</v>
      </c>
      <c r="AR27" t="s">
        <v>179</v>
      </c>
      <c r="AS27" t="s">
        <v>179</v>
      </c>
      <c r="AT27" t="s">
        <v>179</v>
      </c>
      <c r="AU27" t="s">
        <v>179</v>
      </c>
      <c r="AV27" t="s">
        <v>179</v>
      </c>
      <c r="AW27" t="s">
        <v>179</v>
      </c>
      <c r="AX27" t="s">
        <v>179</v>
      </c>
    </row>
    <row r="28" spans="1:50" x14ac:dyDescent="0.2">
      <c r="A28" t="s">
        <v>224</v>
      </c>
      <c r="B28">
        <v>764</v>
      </c>
      <c r="C28">
        <v>6471</v>
      </c>
      <c r="D28">
        <v>0.53965127463158935</v>
      </c>
      <c r="E28">
        <v>0.25224073301407773</v>
      </c>
      <c r="F28">
        <v>8</v>
      </c>
      <c r="G28" t="s">
        <v>179</v>
      </c>
      <c r="H28">
        <v>0.53965127463158935</v>
      </c>
      <c r="I28">
        <v>0.52714435419876138</v>
      </c>
      <c r="J28">
        <v>0.50352763149994029</v>
      </c>
      <c r="K28">
        <v>0.49566856652908964</v>
      </c>
      <c r="L28">
        <v>0.44680218367279212</v>
      </c>
      <c r="M28">
        <v>0.47594296009225873</v>
      </c>
      <c r="N28">
        <v>0.46109907160281205</v>
      </c>
      <c r="O28">
        <v>0.39284176491508371</v>
      </c>
      <c r="P28">
        <v>0.25224073301407773</v>
      </c>
      <c r="Q28" t="s">
        <v>179</v>
      </c>
      <c r="R28" t="s">
        <v>179</v>
      </c>
      <c r="S28" t="s">
        <v>179</v>
      </c>
      <c r="T28" t="s">
        <v>179</v>
      </c>
      <c r="U28" t="s">
        <v>179</v>
      </c>
      <c r="V28" t="s">
        <v>179</v>
      </c>
      <c r="W28" t="s">
        <v>179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179</v>
      </c>
      <c r="AH28" t="s">
        <v>179</v>
      </c>
      <c r="AI28" t="s">
        <v>179</v>
      </c>
      <c r="AJ28" t="s">
        <v>179</v>
      </c>
      <c r="AK28" t="s">
        <v>179</v>
      </c>
      <c r="AL28" t="s">
        <v>179</v>
      </c>
      <c r="AM28">
        <v>0</v>
      </c>
      <c r="AN28">
        <v>0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</row>
    <row r="29" spans="1:50" x14ac:dyDescent="0.2">
      <c r="A29" t="s">
        <v>224</v>
      </c>
      <c r="B29">
        <v>917</v>
      </c>
      <c r="C29">
        <v>6706</v>
      </c>
      <c r="D29">
        <v>0.47023649480021279</v>
      </c>
      <c r="E29">
        <v>0.22833333333333336</v>
      </c>
      <c r="F29">
        <v>8</v>
      </c>
      <c r="G29" t="s">
        <v>179</v>
      </c>
      <c r="H29">
        <v>0.47023649480021279</v>
      </c>
      <c r="I29">
        <v>0.51770484929671812</v>
      </c>
      <c r="J29">
        <v>0.47524544022680737</v>
      </c>
      <c r="K29">
        <v>0.51308115781191821</v>
      </c>
      <c r="L29">
        <v>0.50566455915568898</v>
      </c>
      <c r="M29">
        <v>0.52169192748902415</v>
      </c>
      <c r="N29">
        <v>0.49630818619582662</v>
      </c>
      <c r="O29">
        <v>0.34188243771372734</v>
      </c>
      <c r="P29">
        <v>0.22833333333333336</v>
      </c>
      <c r="Q29" t="s">
        <v>179</v>
      </c>
      <c r="R29" t="s">
        <v>179</v>
      </c>
      <c r="S29" t="s">
        <v>179</v>
      </c>
      <c r="T29" t="s">
        <v>179</v>
      </c>
      <c r="U29" t="s">
        <v>179</v>
      </c>
      <c r="V29" t="s">
        <v>179</v>
      </c>
      <c r="W29" t="s">
        <v>179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179</v>
      </c>
      <c r="AH29" t="s">
        <v>179</v>
      </c>
      <c r="AI29" t="s">
        <v>179</v>
      </c>
      <c r="AJ29" t="s">
        <v>179</v>
      </c>
      <c r="AK29" t="s">
        <v>179</v>
      </c>
      <c r="AL29" t="s">
        <v>179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</row>
    <row r="30" spans="1:50" x14ac:dyDescent="0.2">
      <c r="A30" t="s">
        <v>224</v>
      </c>
      <c r="B30">
        <v>768</v>
      </c>
      <c r="C30">
        <v>7506</v>
      </c>
      <c r="D30">
        <v>0.5597067039106145</v>
      </c>
      <c r="E30">
        <v>0.38016181609767979</v>
      </c>
      <c r="F30">
        <v>13</v>
      </c>
      <c r="G30" t="s">
        <v>179</v>
      </c>
      <c r="H30">
        <v>0.5597067039106145</v>
      </c>
      <c r="I30">
        <v>0.56991767197251086</v>
      </c>
      <c r="J30">
        <v>0.54258725662334983</v>
      </c>
      <c r="K30">
        <v>0.54166098459020862</v>
      </c>
      <c r="L30">
        <v>0.54592902157725032</v>
      </c>
      <c r="M30">
        <v>0.5353974677239024</v>
      </c>
      <c r="N30">
        <v>0.53962889247744472</v>
      </c>
      <c r="O30">
        <v>0.52495170721420292</v>
      </c>
      <c r="P30">
        <v>0.54372332572903215</v>
      </c>
      <c r="Q30">
        <v>0.50501184618188444</v>
      </c>
      <c r="R30">
        <v>0.48167659184608336</v>
      </c>
      <c r="S30">
        <v>0.47651480770728771</v>
      </c>
      <c r="T30">
        <v>0.43941768507638079</v>
      </c>
      <c r="U30">
        <v>0.38016181609767979</v>
      </c>
      <c r="V30" t="s">
        <v>179</v>
      </c>
      <c r="W30" t="s">
        <v>179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179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1</v>
      </c>
    </row>
    <row r="31" spans="1:50" x14ac:dyDescent="0.2">
      <c r="A31" t="s">
        <v>224</v>
      </c>
      <c r="B31">
        <v>911</v>
      </c>
      <c r="C31">
        <v>7535</v>
      </c>
      <c r="D31">
        <v>0.53810663021189342</v>
      </c>
      <c r="E31">
        <v>0.3520918555283008</v>
      </c>
      <c r="F31">
        <v>12</v>
      </c>
      <c r="G31" t="s">
        <v>179</v>
      </c>
      <c r="H31">
        <v>0.53810663021189342</v>
      </c>
      <c r="I31">
        <v>0.54500000000000004</v>
      </c>
      <c r="J31">
        <v>0.54784552673905862</v>
      </c>
      <c r="K31">
        <v>0.53476287028998148</v>
      </c>
      <c r="L31">
        <v>0.51700000000000002</v>
      </c>
      <c r="M31">
        <v>0.52521503089208854</v>
      </c>
      <c r="N31">
        <v>0.52356722013926082</v>
      </c>
      <c r="O31">
        <v>0.53739158424640643</v>
      </c>
      <c r="P31">
        <v>0.51562864325388325</v>
      </c>
      <c r="Q31">
        <v>0.48730345230085215</v>
      </c>
      <c r="R31">
        <v>0.45708239267111722</v>
      </c>
      <c r="S31">
        <v>0.40348886789241373</v>
      </c>
      <c r="T31">
        <v>0.3520918555283008</v>
      </c>
      <c r="U31" t="s">
        <v>179</v>
      </c>
      <c r="V31" t="s">
        <v>179</v>
      </c>
      <c r="W31">
        <v>0.4890838467720332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179</v>
      </c>
      <c r="AL31" t="s">
        <v>179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">
      <c r="A32" t="s">
        <v>224</v>
      </c>
      <c r="B32">
        <v>755</v>
      </c>
      <c r="C32">
        <v>7565</v>
      </c>
      <c r="D32">
        <v>0.59228295547871856</v>
      </c>
      <c r="E32">
        <v>0.40614924421581633</v>
      </c>
      <c r="F32">
        <v>9</v>
      </c>
      <c r="G32" t="s">
        <v>179</v>
      </c>
      <c r="H32">
        <v>0.59228295547871856</v>
      </c>
      <c r="I32">
        <v>0.6074474474474475</v>
      </c>
      <c r="J32">
        <v>0.5647766365979382</v>
      </c>
      <c r="K32">
        <v>0.5326203669476407</v>
      </c>
      <c r="L32">
        <v>0.56415672216699797</v>
      </c>
      <c r="M32">
        <v>0.5711335036811529</v>
      </c>
      <c r="N32">
        <v>0.5230636619962391</v>
      </c>
      <c r="O32">
        <v>0.54943930926838758</v>
      </c>
      <c r="P32">
        <v>0.49814780348524029</v>
      </c>
      <c r="Q32">
        <v>0.40614924421581633</v>
      </c>
      <c r="R32" t="s">
        <v>179</v>
      </c>
      <c r="S32" t="s">
        <v>179</v>
      </c>
      <c r="T32" t="s">
        <v>179</v>
      </c>
      <c r="U32" t="s">
        <v>179</v>
      </c>
      <c r="V32" t="s">
        <v>179</v>
      </c>
      <c r="W32" t="s">
        <v>179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s">
        <v>179</v>
      </c>
      <c r="AI32" t="s">
        <v>179</v>
      </c>
      <c r="AJ32" t="s">
        <v>179</v>
      </c>
      <c r="AK32" t="s">
        <v>179</v>
      </c>
      <c r="AL32" t="s">
        <v>179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</row>
    <row r="33" spans="1:50" x14ac:dyDescent="0.2">
      <c r="A33" t="s">
        <v>224</v>
      </c>
      <c r="B33">
        <v>654</v>
      </c>
      <c r="C33">
        <v>7580</v>
      </c>
      <c r="D33">
        <v>0.59277930033608306</v>
      </c>
      <c r="E33">
        <v>0.35754230258157965</v>
      </c>
      <c r="F33">
        <v>9</v>
      </c>
      <c r="G33" t="s">
        <v>179</v>
      </c>
      <c r="H33">
        <v>0.59277930033608306</v>
      </c>
      <c r="I33">
        <v>0.61705116096465962</v>
      </c>
      <c r="J33">
        <v>0.59235700487006415</v>
      </c>
      <c r="K33">
        <v>0.58864170944067884</v>
      </c>
      <c r="L33">
        <v>0.58068092308088459</v>
      </c>
      <c r="M33">
        <v>0.57632269675689529</v>
      </c>
      <c r="N33">
        <v>0.57854791249749493</v>
      </c>
      <c r="O33">
        <v>0.55260135780061237</v>
      </c>
      <c r="P33">
        <v>0.49055319148936172</v>
      </c>
      <c r="Q33">
        <v>0.35754230258157965</v>
      </c>
      <c r="R33" t="s">
        <v>179</v>
      </c>
      <c r="S33" t="s">
        <v>179</v>
      </c>
      <c r="T33" t="s">
        <v>179</v>
      </c>
      <c r="U33" t="s">
        <v>179</v>
      </c>
      <c r="V33" t="s">
        <v>179</v>
      </c>
      <c r="W33">
        <v>0.56283377837116155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s">
        <v>179</v>
      </c>
      <c r="AI33" t="s">
        <v>179</v>
      </c>
      <c r="AJ33" t="s">
        <v>179</v>
      </c>
      <c r="AK33" t="s">
        <v>179</v>
      </c>
      <c r="AL33" t="s">
        <v>179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">
      <c r="A34" t="s">
        <v>224</v>
      </c>
      <c r="B34">
        <v>769</v>
      </c>
      <c r="C34">
        <v>7640</v>
      </c>
      <c r="D34">
        <v>0.54296115609113171</v>
      </c>
      <c r="E34">
        <v>0.34633333333333333</v>
      </c>
      <c r="F34">
        <v>8</v>
      </c>
      <c r="G34" t="s">
        <v>179</v>
      </c>
      <c r="H34">
        <v>0.54296115609113171</v>
      </c>
      <c r="I34">
        <v>0.57708175708688336</v>
      </c>
      <c r="J34">
        <v>0.5464235711185067</v>
      </c>
      <c r="K34">
        <v>0.5480754894591221</v>
      </c>
      <c r="L34">
        <v>0.54415137614678899</v>
      </c>
      <c r="M34">
        <v>0.53124237139088371</v>
      </c>
      <c r="N34">
        <v>0.52187205269301318</v>
      </c>
      <c r="O34">
        <v>0.52132031517261546</v>
      </c>
      <c r="P34">
        <v>0.34633333333333333</v>
      </c>
      <c r="Q34" t="s">
        <v>179</v>
      </c>
      <c r="R34" t="s">
        <v>179</v>
      </c>
      <c r="S34" t="s">
        <v>179</v>
      </c>
      <c r="T34" t="s">
        <v>179</v>
      </c>
      <c r="U34" t="s">
        <v>179</v>
      </c>
      <c r="V34" t="s">
        <v>179</v>
      </c>
      <c r="W34" t="s">
        <v>179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179</v>
      </c>
      <c r="AH34" t="s">
        <v>179</v>
      </c>
      <c r="AI34" t="s">
        <v>179</v>
      </c>
      <c r="AJ34" t="s">
        <v>179</v>
      </c>
      <c r="AK34" t="s">
        <v>179</v>
      </c>
      <c r="AL34" t="s">
        <v>179</v>
      </c>
      <c r="AM34">
        <v>0</v>
      </c>
      <c r="AN34">
        <v>0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</row>
    <row r="35" spans="1:50" x14ac:dyDescent="0.2">
      <c r="A35" t="s">
        <v>224</v>
      </c>
      <c r="B35">
        <v>763</v>
      </c>
      <c r="C35">
        <v>7649</v>
      </c>
      <c r="D35">
        <v>0.53562638662866346</v>
      </c>
      <c r="E35">
        <v>0.27</v>
      </c>
      <c r="F35">
        <v>9</v>
      </c>
      <c r="G35" t="s">
        <v>179</v>
      </c>
      <c r="H35">
        <v>0.53562638662866346</v>
      </c>
      <c r="I35">
        <v>0.55853200041411077</v>
      </c>
      <c r="J35">
        <v>0.53383494936180842</v>
      </c>
      <c r="K35">
        <v>0.5301073058928224</v>
      </c>
      <c r="L35">
        <v>0.48895827843496692</v>
      </c>
      <c r="M35">
        <v>0.51974707442036971</v>
      </c>
      <c r="N35">
        <v>0.52647220863902611</v>
      </c>
      <c r="O35">
        <v>0.50901310238559461</v>
      </c>
      <c r="P35">
        <v>0.44005670311867151</v>
      </c>
      <c r="Q35">
        <v>0.27</v>
      </c>
      <c r="R35" t="s">
        <v>179</v>
      </c>
      <c r="S35" t="s">
        <v>179</v>
      </c>
      <c r="T35" t="s">
        <v>179</v>
      </c>
      <c r="U35" t="s">
        <v>179</v>
      </c>
      <c r="V35" t="s">
        <v>179</v>
      </c>
      <c r="W35" t="s">
        <v>179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s">
        <v>179</v>
      </c>
      <c r="AI35" t="s">
        <v>179</v>
      </c>
      <c r="AJ35" t="s">
        <v>179</v>
      </c>
      <c r="AK35" t="s">
        <v>179</v>
      </c>
      <c r="AL35" t="s">
        <v>179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</row>
    <row r="36" spans="1:50" x14ac:dyDescent="0.2">
      <c r="A36" t="s">
        <v>224</v>
      </c>
      <c r="B36">
        <v>770</v>
      </c>
      <c r="C36">
        <v>7687</v>
      </c>
      <c r="D36">
        <v>0.5214523065396176</v>
      </c>
      <c r="E36">
        <v>0.31866666666666665</v>
      </c>
      <c r="F36">
        <v>5</v>
      </c>
      <c r="G36" t="s">
        <v>179</v>
      </c>
      <c r="H36">
        <v>0.5214523065396176</v>
      </c>
      <c r="I36">
        <v>0.523120595535571</v>
      </c>
      <c r="J36">
        <v>0.49196545629510474</v>
      </c>
      <c r="K36">
        <v>0.49634240309120087</v>
      </c>
      <c r="L36">
        <v>0.49363472086189492</v>
      </c>
      <c r="M36">
        <v>0.31866666666666665</v>
      </c>
      <c r="N36" t="s">
        <v>179</v>
      </c>
      <c r="O36" t="s">
        <v>179</v>
      </c>
      <c r="P36" t="s">
        <v>179</v>
      </c>
      <c r="Q36" t="s">
        <v>179</v>
      </c>
      <c r="R36" t="s">
        <v>179</v>
      </c>
      <c r="S36" t="s">
        <v>179</v>
      </c>
      <c r="T36" t="s">
        <v>179</v>
      </c>
      <c r="U36" t="s">
        <v>179</v>
      </c>
      <c r="V36" t="s">
        <v>179</v>
      </c>
      <c r="W36" t="s">
        <v>179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179</v>
      </c>
      <c r="AE36" t="s">
        <v>179</v>
      </c>
      <c r="AF36" t="s">
        <v>179</v>
      </c>
      <c r="AG36" t="s">
        <v>179</v>
      </c>
      <c r="AH36" t="s">
        <v>179</v>
      </c>
      <c r="AI36" t="s">
        <v>179</v>
      </c>
      <c r="AJ36" t="s">
        <v>179</v>
      </c>
      <c r="AK36" t="s">
        <v>179</v>
      </c>
      <c r="AL36" t="s">
        <v>179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</row>
    <row r="37" spans="1:50" x14ac:dyDescent="0.2">
      <c r="A37" t="s">
        <v>224</v>
      </c>
      <c r="B37">
        <v>668</v>
      </c>
      <c r="C37">
        <v>7711</v>
      </c>
      <c r="D37">
        <v>0.5632108310594347</v>
      </c>
      <c r="E37">
        <v>0.51141486330935249</v>
      </c>
      <c r="F37" t="s">
        <v>179</v>
      </c>
      <c r="G37">
        <v>5</v>
      </c>
      <c r="H37">
        <v>0.5632108310594347</v>
      </c>
      <c r="I37">
        <v>0.56188509315021806</v>
      </c>
      <c r="J37">
        <v>0.54057856186141606</v>
      </c>
      <c r="K37">
        <v>0.53032447446469688</v>
      </c>
      <c r="L37">
        <v>0.51141486330935249</v>
      </c>
      <c r="M37" t="s">
        <v>179</v>
      </c>
      <c r="N37" t="s">
        <v>179</v>
      </c>
      <c r="O37" t="s">
        <v>179</v>
      </c>
      <c r="P37" t="s">
        <v>179</v>
      </c>
      <c r="Q37" t="s">
        <v>179</v>
      </c>
      <c r="R37" t="s">
        <v>179</v>
      </c>
      <c r="S37" t="s">
        <v>179</v>
      </c>
      <c r="T37" t="s">
        <v>179</v>
      </c>
      <c r="U37" t="s">
        <v>179</v>
      </c>
      <c r="V37" t="s">
        <v>179</v>
      </c>
      <c r="W37" t="s">
        <v>179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 t="s">
        <v>179</v>
      </c>
      <c r="AN37" t="s">
        <v>179</v>
      </c>
      <c r="AO37" t="s">
        <v>179</v>
      </c>
      <c r="AP37" t="s">
        <v>179</v>
      </c>
      <c r="AQ37" t="s">
        <v>179</v>
      </c>
      <c r="AR37" t="s">
        <v>179</v>
      </c>
      <c r="AS37" t="s">
        <v>179</v>
      </c>
      <c r="AT37" t="s">
        <v>179</v>
      </c>
      <c r="AU37" t="s">
        <v>179</v>
      </c>
      <c r="AV37" t="s">
        <v>179</v>
      </c>
      <c r="AW37" t="s">
        <v>179</v>
      </c>
      <c r="AX37" t="s">
        <v>179</v>
      </c>
    </row>
    <row r="38" spans="1:50" x14ac:dyDescent="0.2">
      <c r="A38" t="s">
        <v>224</v>
      </c>
      <c r="B38">
        <v>655</v>
      </c>
      <c r="C38">
        <v>7714</v>
      </c>
      <c r="D38">
        <v>0.46831744078745002</v>
      </c>
      <c r="E38">
        <v>0.38599451592491035</v>
      </c>
      <c r="F38" t="s">
        <v>179</v>
      </c>
      <c r="G38">
        <v>13</v>
      </c>
      <c r="H38">
        <v>0.46831744078745002</v>
      </c>
      <c r="I38">
        <v>0.4794785789473453</v>
      </c>
      <c r="J38">
        <v>0.44991990695335865</v>
      </c>
      <c r="K38">
        <v>0.44826734895711645</v>
      </c>
      <c r="L38">
        <v>0.4569403692824171</v>
      </c>
      <c r="M38">
        <v>0.45637704509101162</v>
      </c>
      <c r="N38">
        <v>0.45930461087509988</v>
      </c>
      <c r="O38">
        <v>0.47268365171650056</v>
      </c>
      <c r="P38">
        <v>0.4679164663878333</v>
      </c>
      <c r="Q38">
        <v>0.44827231577321175</v>
      </c>
      <c r="R38">
        <v>0.43395228914118994</v>
      </c>
      <c r="S38">
        <v>0.40266736084465654</v>
      </c>
      <c r="T38">
        <v>0.38599451592491035</v>
      </c>
      <c r="U38" t="s">
        <v>179</v>
      </c>
      <c r="V38" t="s">
        <v>179</v>
      </c>
      <c r="W38" t="s">
        <v>179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 t="s">
        <v>179</v>
      </c>
      <c r="AN38" t="s">
        <v>179</v>
      </c>
      <c r="AO38" t="s">
        <v>179</v>
      </c>
      <c r="AP38" t="s">
        <v>179</v>
      </c>
      <c r="AQ38" t="s">
        <v>179</v>
      </c>
      <c r="AR38" t="s">
        <v>179</v>
      </c>
      <c r="AS38" t="s">
        <v>179</v>
      </c>
      <c r="AT38" t="s">
        <v>179</v>
      </c>
      <c r="AU38" t="s">
        <v>179</v>
      </c>
      <c r="AV38" t="s">
        <v>179</v>
      </c>
      <c r="AW38" t="s">
        <v>179</v>
      </c>
      <c r="AX38" t="s">
        <v>179</v>
      </c>
    </row>
    <row r="39" spans="1:50" x14ac:dyDescent="0.2">
      <c r="A39" t="s">
        <v>224</v>
      </c>
      <c r="B39">
        <v>918</v>
      </c>
      <c r="C39">
        <v>7771</v>
      </c>
      <c r="D39">
        <v>0.52833333333333343</v>
      </c>
      <c r="E39">
        <v>0.31766666666666665</v>
      </c>
      <c r="F39">
        <v>8</v>
      </c>
      <c r="G39" t="s">
        <v>179</v>
      </c>
      <c r="H39">
        <v>0.52833333333333343</v>
      </c>
      <c r="I39">
        <v>0.52511787953383726</v>
      </c>
      <c r="J39">
        <v>0.50284799891499943</v>
      </c>
      <c r="K39">
        <v>0.49874227806968718</v>
      </c>
      <c r="L39">
        <v>0.50743577347586621</v>
      </c>
      <c r="M39">
        <v>0.48766666666666669</v>
      </c>
      <c r="N39">
        <v>0.49533333333333335</v>
      </c>
      <c r="O39">
        <v>0.46533333333333332</v>
      </c>
      <c r="P39">
        <v>0.31766666666666665</v>
      </c>
      <c r="Q39" t="s">
        <v>179</v>
      </c>
      <c r="R39" t="s">
        <v>179</v>
      </c>
      <c r="S39" t="s">
        <v>179</v>
      </c>
      <c r="T39" t="s">
        <v>179</v>
      </c>
      <c r="U39" t="s">
        <v>179</v>
      </c>
      <c r="V39" t="s">
        <v>179</v>
      </c>
      <c r="W39" t="s">
        <v>179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179</v>
      </c>
      <c r="AH39" t="s">
        <v>179</v>
      </c>
      <c r="AI39" t="s">
        <v>179</v>
      </c>
      <c r="AJ39" t="s">
        <v>179</v>
      </c>
      <c r="AK39" t="s">
        <v>179</v>
      </c>
      <c r="AL39" t="s">
        <v>179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</row>
    <row r="40" spans="1:50" x14ac:dyDescent="0.2">
      <c r="A40" t="s">
        <v>224</v>
      </c>
      <c r="B40">
        <v>661</v>
      </c>
      <c r="C40">
        <v>7773</v>
      </c>
      <c r="D40">
        <v>0.50244888984816094</v>
      </c>
      <c r="E40">
        <v>0.30099999999999999</v>
      </c>
      <c r="F40">
        <v>10</v>
      </c>
      <c r="G40" t="s">
        <v>179</v>
      </c>
      <c r="H40">
        <v>0.50244888984816094</v>
      </c>
      <c r="I40">
        <v>0.54716761979276274</v>
      </c>
      <c r="J40">
        <v>0.50301370138637647</v>
      </c>
      <c r="K40">
        <v>0.50194529694473045</v>
      </c>
      <c r="L40">
        <v>0.50179263081395342</v>
      </c>
      <c r="M40">
        <v>0.48935096149515012</v>
      </c>
      <c r="N40">
        <v>0.49160578406499694</v>
      </c>
      <c r="O40">
        <v>0.47464325531259621</v>
      </c>
      <c r="P40">
        <v>0.45247464044069868</v>
      </c>
      <c r="Q40">
        <v>0.3804857826353451</v>
      </c>
      <c r="R40">
        <v>0.30099999999999999</v>
      </c>
      <c r="S40" t="s">
        <v>179</v>
      </c>
      <c r="T40" t="s">
        <v>179</v>
      </c>
      <c r="U40" t="s">
        <v>179</v>
      </c>
      <c r="V40" t="s">
        <v>179</v>
      </c>
      <c r="W40" t="s">
        <v>179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179</v>
      </c>
      <c r="AJ40" t="s">
        <v>179</v>
      </c>
      <c r="AK40" t="s">
        <v>179</v>
      </c>
      <c r="AL40" t="s">
        <v>179</v>
      </c>
      <c r="AM40">
        <v>0</v>
      </c>
      <c r="AN40">
        <v>0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</row>
    <row r="41" spans="1:50" x14ac:dyDescent="0.2">
      <c r="A41" t="s">
        <v>225</v>
      </c>
      <c r="B41">
        <v>580</v>
      </c>
      <c r="C41">
        <v>7788</v>
      </c>
      <c r="D41">
        <v>0.59044049060279225</v>
      </c>
      <c r="E41">
        <v>0.61612724539052</v>
      </c>
      <c r="F41" t="s">
        <v>179</v>
      </c>
      <c r="G41" t="s">
        <v>179</v>
      </c>
      <c r="H41">
        <v>0.59044049060279225</v>
      </c>
      <c r="I41">
        <v>0.581981440690579</v>
      </c>
      <c r="J41">
        <v>0.58978991908646894</v>
      </c>
      <c r="K41">
        <v>0.59813866262512172</v>
      </c>
      <c r="L41">
        <v>0.5803398519266072</v>
      </c>
      <c r="M41">
        <v>0.58948471474870245</v>
      </c>
      <c r="N41">
        <v>0.61971314951983292</v>
      </c>
      <c r="O41">
        <v>0.6230123735659896</v>
      </c>
      <c r="P41">
        <v>0.62935147852616757</v>
      </c>
      <c r="Q41">
        <v>0.60596231497489816</v>
      </c>
      <c r="R41">
        <v>0.59378058281973223</v>
      </c>
      <c r="S41">
        <v>0.58445028909329833</v>
      </c>
      <c r="T41">
        <v>0.60162083757637475</v>
      </c>
      <c r="U41">
        <v>0.62961616749054949</v>
      </c>
      <c r="V41">
        <v>0.61612724539052</v>
      </c>
      <c r="W41" t="s">
        <v>179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">
      <c r="A42" t="s">
        <v>224</v>
      </c>
      <c r="B42">
        <v>580</v>
      </c>
      <c r="C42">
        <v>7812</v>
      </c>
      <c r="D42">
        <v>0.58551957668333454</v>
      </c>
      <c r="E42">
        <v>0.17733333333333334</v>
      </c>
      <c r="F42">
        <v>8</v>
      </c>
      <c r="G42" t="s">
        <v>179</v>
      </c>
      <c r="H42">
        <v>0.58551957668333454</v>
      </c>
      <c r="I42">
        <v>0.59984686064318538</v>
      </c>
      <c r="J42">
        <v>0.57632094566660319</v>
      </c>
      <c r="K42">
        <v>0.57284126330731011</v>
      </c>
      <c r="L42">
        <v>0.56682181531714571</v>
      </c>
      <c r="M42">
        <v>0.56741290750219397</v>
      </c>
      <c r="N42">
        <v>0.55204313026131169</v>
      </c>
      <c r="O42">
        <v>0.51505183696650603</v>
      </c>
      <c r="P42">
        <v>0.17733333333333334</v>
      </c>
      <c r="Q42" t="s">
        <v>179</v>
      </c>
      <c r="R42" t="s">
        <v>179</v>
      </c>
      <c r="S42" t="s">
        <v>179</v>
      </c>
      <c r="T42" t="s">
        <v>179</v>
      </c>
      <c r="U42" t="s">
        <v>179</v>
      </c>
      <c r="V42" t="s">
        <v>179</v>
      </c>
      <c r="W42" t="s">
        <v>179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179</v>
      </c>
      <c r="AH42" t="s">
        <v>179</v>
      </c>
      <c r="AI42" t="s">
        <v>179</v>
      </c>
      <c r="AJ42" t="s">
        <v>179</v>
      </c>
      <c r="AK42" t="s">
        <v>179</v>
      </c>
      <c r="AL42" t="s">
        <v>179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</row>
    <row r="43" spans="1:50" x14ac:dyDescent="0.2">
      <c r="A43" t="s">
        <v>224</v>
      </c>
      <c r="B43">
        <v>667</v>
      </c>
      <c r="C43">
        <v>7813</v>
      </c>
      <c r="D43">
        <v>0.53557685384464881</v>
      </c>
      <c r="E43">
        <v>0.34455603392416706</v>
      </c>
      <c r="F43">
        <v>11</v>
      </c>
      <c r="G43" t="s">
        <v>179</v>
      </c>
      <c r="H43">
        <v>0.53557685384464881</v>
      </c>
      <c r="I43">
        <v>0.53823121963830767</v>
      </c>
      <c r="J43">
        <v>0.52261799892164551</v>
      </c>
      <c r="K43">
        <v>0.51518723132112054</v>
      </c>
      <c r="L43">
        <v>0.49235032423697517</v>
      </c>
      <c r="M43">
        <v>0.49944459931528912</v>
      </c>
      <c r="N43">
        <v>0.50265495773732116</v>
      </c>
      <c r="O43">
        <v>0.51591201639349216</v>
      </c>
      <c r="P43">
        <v>0.50467552672755467</v>
      </c>
      <c r="Q43">
        <v>0.4685514821069735</v>
      </c>
      <c r="R43">
        <v>0.3986014013612228</v>
      </c>
      <c r="S43">
        <v>0.34455603392416706</v>
      </c>
      <c r="T43" t="s">
        <v>179</v>
      </c>
      <c r="U43" t="s">
        <v>179</v>
      </c>
      <c r="V43" t="s">
        <v>179</v>
      </c>
      <c r="W43" t="s">
        <v>179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179</v>
      </c>
      <c r="AK43" t="s">
        <v>179</v>
      </c>
      <c r="AL43" t="s">
        <v>179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</row>
    <row r="44" spans="1:50" x14ac:dyDescent="0.2">
      <c r="A44" t="s">
        <v>224</v>
      </c>
      <c r="B44">
        <v>663</v>
      </c>
      <c r="C44">
        <v>7846</v>
      </c>
      <c r="D44">
        <v>0.60549806144241825</v>
      </c>
      <c r="E44">
        <v>0.25333333333333335</v>
      </c>
      <c r="F44">
        <v>9</v>
      </c>
      <c r="G44" t="s">
        <v>179</v>
      </c>
      <c r="H44">
        <v>0.60549806144241825</v>
      </c>
      <c r="I44">
        <v>0.61690127968150144</v>
      </c>
      <c r="J44">
        <v>0.57434374605123706</v>
      </c>
      <c r="K44">
        <v>0.54404936916270685</v>
      </c>
      <c r="L44">
        <v>0.52877130511661741</v>
      </c>
      <c r="M44">
        <v>0.52867970639823969</v>
      </c>
      <c r="N44">
        <v>0.56181331327027795</v>
      </c>
      <c r="O44">
        <v>0.51898027976280969</v>
      </c>
      <c r="P44">
        <v>0.44036459008574946</v>
      </c>
      <c r="Q44">
        <v>0.25333333333333335</v>
      </c>
      <c r="R44" t="s">
        <v>179</v>
      </c>
      <c r="S44" t="s">
        <v>179</v>
      </c>
      <c r="T44" t="s">
        <v>179</v>
      </c>
      <c r="U44" t="s">
        <v>179</v>
      </c>
      <c r="V44" t="s">
        <v>179</v>
      </c>
      <c r="W44" t="s">
        <v>179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s">
        <v>179</v>
      </c>
      <c r="AI44" t="s">
        <v>179</v>
      </c>
      <c r="AJ44" t="s">
        <v>179</v>
      </c>
      <c r="AK44" t="s">
        <v>179</v>
      </c>
      <c r="AL44" t="s">
        <v>179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</row>
    <row r="45" spans="1:50" x14ac:dyDescent="0.2">
      <c r="A45" t="s">
        <v>224</v>
      </c>
      <c r="B45">
        <v>757</v>
      </c>
      <c r="C45">
        <v>7861</v>
      </c>
      <c r="D45">
        <v>0.54433333333333334</v>
      </c>
      <c r="E45">
        <v>0.32100000000000001</v>
      </c>
      <c r="F45">
        <v>6</v>
      </c>
      <c r="G45" t="s">
        <v>179</v>
      </c>
      <c r="H45">
        <v>0.54433333333333334</v>
      </c>
      <c r="I45">
        <v>0.55600000000000005</v>
      </c>
      <c r="J45">
        <v>0.55425136782124773</v>
      </c>
      <c r="K45">
        <v>0.53500000000000003</v>
      </c>
      <c r="L45">
        <v>0.53508723995807594</v>
      </c>
      <c r="M45">
        <v>0.47369499001075765</v>
      </c>
      <c r="N45">
        <v>0.32100000000000001</v>
      </c>
      <c r="O45" t="s">
        <v>179</v>
      </c>
      <c r="P45" t="s">
        <v>179</v>
      </c>
      <c r="Q45" t="s">
        <v>179</v>
      </c>
      <c r="R45" t="s">
        <v>179</v>
      </c>
      <c r="S45" t="s">
        <v>179</v>
      </c>
      <c r="T45" t="s">
        <v>179</v>
      </c>
      <c r="U45" t="s">
        <v>179</v>
      </c>
      <c r="V45" t="s">
        <v>179</v>
      </c>
      <c r="W45" t="s">
        <v>179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179</v>
      </c>
      <c r="AF45" t="s">
        <v>179</v>
      </c>
      <c r="AG45" t="s">
        <v>179</v>
      </c>
      <c r="AH45" t="s">
        <v>179</v>
      </c>
      <c r="AI45" t="s">
        <v>179</v>
      </c>
      <c r="AJ45" t="s">
        <v>179</v>
      </c>
      <c r="AK45" t="s">
        <v>179</v>
      </c>
      <c r="AL45" t="s">
        <v>179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</row>
    <row r="46" spans="1:50" x14ac:dyDescent="0.2">
      <c r="A46" t="s">
        <v>224</v>
      </c>
      <c r="B46">
        <v>656</v>
      </c>
      <c r="C46">
        <v>7898</v>
      </c>
      <c r="D46">
        <v>0.54660568669266651</v>
      </c>
      <c r="E46">
        <v>0.32566666666666672</v>
      </c>
      <c r="F46">
        <v>9</v>
      </c>
      <c r="G46" t="s">
        <v>179</v>
      </c>
      <c r="H46">
        <v>0.54660568669266651</v>
      </c>
      <c r="I46">
        <v>0.5839340356667031</v>
      </c>
      <c r="J46">
        <v>0.52861628336818989</v>
      </c>
      <c r="K46">
        <v>0.56004888638511585</v>
      </c>
      <c r="L46">
        <v>0.56813795757806596</v>
      </c>
      <c r="M46">
        <v>0.56506655734193856</v>
      </c>
      <c r="N46">
        <v>0.55277888404072462</v>
      </c>
      <c r="O46">
        <v>0.50887933681241548</v>
      </c>
      <c r="P46">
        <v>0.46428386956329371</v>
      </c>
      <c r="Q46">
        <v>0.32566666666666672</v>
      </c>
      <c r="R46" t="s">
        <v>179</v>
      </c>
      <c r="S46" t="s">
        <v>179</v>
      </c>
      <c r="T46" t="s">
        <v>179</v>
      </c>
      <c r="U46" t="s">
        <v>179</v>
      </c>
      <c r="V46" t="s">
        <v>179</v>
      </c>
      <c r="W46">
        <v>0.53900043333814829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s">
        <v>179</v>
      </c>
      <c r="AI46" t="s">
        <v>179</v>
      </c>
      <c r="AJ46" t="s">
        <v>179</v>
      </c>
      <c r="AK46" t="s">
        <v>179</v>
      </c>
      <c r="AL46" t="s">
        <v>179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">
      <c r="A47" t="s">
        <v>224</v>
      </c>
      <c r="B47">
        <v>665</v>
      </c>
      <c r="C47">
        <v>7899</v>
      </c>
      <c r="D47">
        <v>0.5283573833054529</v>
      </c>
      <c r="E47">
        <v>0.23300000000000001</v>
      </c>
      <c r="F47">
        <v>6</v>
      </c>
      <c r="G47" t="s">
        <v>179</v>
      </c>
      <c r="H47">
        <v>0.5283573833054529</v>
      </c>
      <c r="I47">
        <v>0.54598884540117121</v>
      </c>
      <c r="J47">
        <v>0.51395925668880427</v>
      </c>
      <c r="K47">
        <v>0.51563059094397545</v>
      </c>
      <c r="L47">
        <v>0.44392134280765078</v>
      </c>
      <c r="M47">
        <v>0.41054181390358002</v>
      </c>
      <c r="N47">
        <v>0.23300000000000001</v>
      </c>
      <c r="O47" t="s">
        <v>179</v>
      </c>
      <c r="P47" t="s">
        <v>179</v>
      </c>
      <c r="Q47" t="s">
        <v>179</v>
      </c>
      <c r="R47" t="s">
        <v>179</v>
      </c>
      <c r="S47" t="s">
        <v>179</v>
      </c>
      <c r="T47" t="s">
        <v>179</v>
      </c>
      <c r="U47" t="s">
        <v>179</v>
      </c>
      <c r="V47" t="s">
        <v>179</v>
      </c>
      <c r="W47" t="s">
        <v>179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179</v>
      </c>
      <c r="AF47" t="s">
        <v>179</v>
      </c>
      <c r="AG47" t="s">
        <v>179</v>
      </c>
      <c r="AH47" t="s">
        <v>179</v>
      </c>
      <c r="AI47" t="s">
        <v>179</v>
      </c>
      <c r="AJ47" t="s">
        <v>179</v>
      </c>
      <c r="AK47" t="s">
        <v>179</v>
      </c>
      <c r="AL47" t="s">
        <v>179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</row>
    <row r="48" spans="1:50" x14ac:dyDescent="0.2">
      <c r="A48" t="s">
        <v>224</v>
      </c>
      <c r="B48">
        <v>910</v>
      </c>
      <c r="C48">
        <v>7910</v>
      </c>
      <c r="D48">
        <v>0.58098732100742279</v>
      </c>
      <c r="E48">
        <v>0.40497006943131697</v>
      </c>
      <c r="F48">
        <v>8</v>
      </c>
      <c r="G48" t="s">
        <v>179</v>
      </c>
      <c r="H48">
        <v>0.58098732100742279</v>
      </c>
      <c r="I48">
        <v>0.56401400446008199</v>
      </c>
      <c r="J48">
        <v>0.53974028117636641</v>
      </c>
      <c r="K48">
        <v>0.55043767729251503</v>
      </c>
      <c r="L48">
        <v>0.54521263758543659</v>
      </c>
      <c r="M48">
        <v>0.53160173615857831</v>
      </c>
      <c r="N48">
        <v>0.536902378945181</v>
      </c>
      <c r="O48">
        <v>0.48980124424956306</v>
      </c>
      <c r="P48">
        <v>0.40497006943131697</v>
      </c>
      <c r="Q48" t="s">
        <v>179</v>
      </c>
      <c r="R48" t="s">
        <v>179</v>
      </c>
      <c r="S48" t="s">
        <v>179</v>
      </c>
      <c r="T48" t="s">
        <v>179</v>
      </c>
      <c r="U48" t="s">
        <v>179</v>
      </c>
      <c r="V48" t="s">
        <v>179</v>
      </c>
      <c r="W48" t="s">
        <v>179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179</v>
      </c>
      <c r="AH48" t="s">
        <v>179</v>
      </c>
      <c r="AI48" t="s">
        <v>179</v>
      </c>
      <c r="AJ48" t="s">
        <v>179</v>
      </c>
      <c r="AK48" t="s">
        <v>179</v>
      </c>
      <c r="AL48" t="s">
        <v>179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</row>
    <row r="49" spans="1:50" x14ac:dyDescent="0.2">
      <c r="A49" t="s">
        <v>224</v>
      </c>
      <c r="B49">
        <v>580</v>
      </c>
      <c r="C49">
        <v>7918</v>
      </c>
      <c r="D49">
        <v>0.58319562866155916</v>
      </c>
      <c r="E49">
        <v>0.33603272549944824</v>
      </c>
      <c r="F49">
        <v>7</v>
      </c>
      <c r="G49" t="s">
        <v>179</v>
      </c>
      <c r="H49">
        <v>0.58319562866155916</v>
      </c>
      <c r="I49">
        <v>0.59570272293075188</v>
      </c>
      <c r="J49">
        <v>0.55676999696961271</v>
      </c>
      <c r="K49">
        <v>0.57203870494815168</v>
      </c>
      <c r="L49">
        <v>0.52541692284508734</v>
      </c>
      <c r="M49">
        <v>0.51336954228083787</v>
      </c>
      <c r="N49">
        <v>0.48502161828289059</v>
      </c>
      <c r="O49">
        <v>0.42033333333333339</v>
      </c>
      <c r="P49">
        <v>0.33603272549944824</v>
      </c>
      <c r="Q49" t="s">
        <v>179</v>
      </c>
      <c r="R49" t="s">
        <v>179</v>
      </c>
      <c r="S49" t="s">
        <v>179</v>
      </c>
      <c r="T49" t="s">
        <v>179</v>
      </c>
      <c r="U49" t="s">
        <v>179</v>
      </c>
      <c r="V49" t="s">
        <v>179</v>
      </c>
      <c r="W49" t="s">
        <v>179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179</v>
      </c>
      <c r="AG49" t="s">
        <v>179</v>
      </c>
      <c r="AH49" t="s">
        <v>179</v>
      </c>
      <c r="AI49" t="s">
        <v>179</v>
      </c>
      <c r="AJ49" t="s">
        <v>179</v>
      </c>
      <c r="AK49" t="s">
        <v>179</v>
      </c>
      <c r="AL49" t="s">
        <v>179</v>
      </c>
      <c r="AM49">
        <v>0</v>
      </c>
      <c r="AN49">
        <v>0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</row>
    <row r="50" spans="1:50" x14ac:dyDescent="0.2">
      <c r="A50" t="s">
        <v>224</v>
      </c>
      <c r="B50">
        <v>909</v>
      </c>
      <c r="C50">
        <v>7922</v>
      </c>
      <c r="D50">
        <v>0.56039016238113304</v>
      </c>
      <c r="E50">
        <v>0.33233333333333331</v>
      </c>
      <c r="F50">
        <v>8</v>
      </c>
      <c r="G50" t="s">
        <v>179</v>
      </c>
      <c r="H50">
        <v>0.56039016238113304</v>
      </c>
      <c r="I50">
        <v>0.56202785308988878</v>
      </c>
      <c r="J50">
        <v>0.52698542775708834</v>
      </c>
      <c r="K50">
        <v>0.52729898689694854</v>
      </c>
      <c r="L50">
        <v>0.52906017663588922</v>
      </c>
      <c r="M50">
        <v>0.52504339843750003</v>
      </c>
      <c r="N50">
        <v>0.5293185439598026</v>
      </c>
      <c r="O50">
        <v>0.50259184584178496</v>
      </c>
      <c r="P50">
        <v>0.33233333333333331</v>
      </c>
      <c r="Q50" t="s">
        <v>179</v>
      </c>
      <c r="R50" t="s">
        <v>179</v>
      </c>
      <c r="S50" t="s">
        <v>179</v>
      </c>
      <c r="T50" t="s">
        <v>179</v>
      </c>
      <c r="U50" t="s">
        <v>179</v>
      </c>
      <c r="V50" t="s">
        <v>179</v>
      </c>
      <c r="W50" t="s">
        <v>179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179</v>
      </c>
      <c r="AH50" t="s">
        <v>179</v>
      </c>
      <c r="AI50" t="s">
        <v>179</v>
      </c>
      <c r="AJ50" t="s">
        <v>179</v>
      </c>
      <c r="AK50" t="s">
        <v>179</v>
      </c>
      <c r="AL50" t="s">
        <v>179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</row>
    <row r="51" spans="1:50" x14ac:dyDescent="0.2">
      <c r="A51" t="s">
        <v>224</v>
      </c>
      <c r="B51">
        <v>765</v>
      </c>
      <c r="C51">
        <v>7923</v>
      </c>
      <c r="D51">
        <v>0.52298433528845956</v>
      </c>
      <c r="E51">
        <v>0.34694878048780486</v>
      </c>
      <c r="F51">
        <v>8</v>
      </c>
      <c r="G51" t="s">
        <v>179</v>
      </c>
      <c r="H51">
        <v>0.52298433528845956</v>
      </c>
      <c r="I51">
        <v>0.53666666666666674</v>
      </c>
      <c r="J51">
        <v>0.52400000000000002</v>
      </c>
      <c r="K51">
        <v>0.52046528521207425</v>
      </c>
      <c r="L51">
        <v>0.45827405761024187</v>
      </c>
      <c r="M51">
        <v>0.4423333333333333</v>
      </c>
      <c r="N51">
        <v>0.437</v>
      </c>
      <c r="O51">
        <v>0.41929416495376509</v>
      </c>
      <c r="P51">
        <v>0.34694878048780486</v>
      </c>
      <c r="Q51" t="s">
        <v>179</v>
      </c>
      <c r="R51" t="s">
        <v>179</v>
      </c>
      <c r="S51" t="s">
        <v>179</v>
      </c>
      <c r="T51" t="s">
        <v>179</v>
      </c>
      <c r="U51" t="s">
        <v>179</v>
      </c>
      <c r="V51" t="s">
        <v>179</v>
      </c>
      <c r="W51" t="s">
        <v>179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179</v>
      </c>
      <c r="AH51" t="s">
        <v>179</v>
      </c>
      <c r="AI51" t="s">
        <v>179</v>
      </c>
      <c r="AJ51" t="s">
        <v>179</v>
      </c>
      <c r="AK51" t="s">
        <v>179</v>
      </c>
      <c r="AL51" t="s">
        <v>179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</row>
    <row r="52" spans="1:50" x14ac:dyDescent="0.2">
      <c r="A52" t="s">
        <v>224</v>
      </c>
      <c r="B52">
        <v>773</v>
      </c>
      <c r="C52">
        <v>7972</v>
      </c>
      <c r="D52">
        <v>0.53618977850399419</v>
      </c>
      <c r="E52">
        <v>0.29865630168650326</v>
      </c>
      <c r="F52">
        <v>11</v>
      </c>
      <c r="G52" t="s">
        <v>179</v>
      </c>
      <c r="H52">
        <v>0.53618977850399419</v>
      </c>
      <c r="I52">
        <v>0.55315003247456151</v>
      </c>
      <c r="J52">
        <v>0.52420968959012171</v>
      </c>
      <c r="K52">
        <v>0.52388669427439682</v>
      </c>
      <c r="L52">
        <v>0.51681710186976137</v>
      </c>
      <c r="M52">
        <v>0.50459618139217088</v>
      </c>
      <c r="N52">
        <v>0.51195729694394509</v>
      </c>
      <c r="O52">
        <v>0.51455565987599639</v>
      </c>
      <c r="P52">
        <v>0.49458585807253325</v>
      </c>
      <c r="Q52">
        <v>0.46863029285542734</v>
      </c>
      <c r="R52">
        <v>0.37954074740827221</v>
      </c>
      <c r="S52">
        <v>0.29865630168650326</v>
      </c>
      <c r="T52" t="s">
        <v>179</v>
      </c>
      <c r="U52" t="s">
        <v>179</v>
      </c>
      <c r="V52" t="s">
        <v>179</v>
      </c>
      <c r="W52" t="s">
        <v>179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179</v>
      </c>
      <c r="AK52" t="s">
        <v>179</v>
      </c>
      <c r="AL52" t="s">
        <v>179</v>
      </c>
      <c r="AM52">
        <v>0</v>
      </c>
      <c r="AN52">
        <v>0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</row>
    <row r="53" spans="1:50" x14ac:dyDescent="0.2">
      <c r="A53" t="s">
        <v>224</v>
      </c>
      <c r="B53">
        <v>653</v>
      </c>
      <c r="C53">
        <v>7985</v>
      </c>
      <c r="D53">
        <v>0.56522575162391575</v>
      </c>
      <c r="E53">
        <v>0.28185719639596413</v>
      </c>
      <c r="F53">
        <v>11</v>
      </c>
      <c r="G53" t="s">
        <v>179</v>
      </c>
      <c r="H53">
        <v>0.56522575162391575</v>
      </c>
      <c r="I53">
        <v>0.5706879796511628</v>
      </c>
      <c r="J53">
        <v>0.52032744205298009</v>
      </c>
      <c r="K53">
        <v>0.53310314041433737</v>
      </c>
      <c r="L53">
        <v>0.5477866957338956</v>
      </c>
      <c r="M53">
        <v>0.52261708189573042</v>
      </c>
      <c r="N53">
        <v>0.51137161485774496</v>
      </c>
      <c r="O53">
        <v>0.52151920168106747</v>
      </c>
      <c r="P53">
        <v>0.50296079171912156</v>
      </c>
      <c r="Q53">
        <v>0.44792794838110073</v>
      </c>
      <c r="R53">
        <v>0.46094257562807467</v>
      </c>
      <c r="S53">
        <v>0.28185719639596413</v>
      </c>
      <c r="T53" t="s">
        <v>179</v>
      </c>
      <c r="U53" t="s">
        <v>179</v>
      </c>
      <c r="V53" t="s">
        <v>179</v>
      </c>
      <c r="W53">
        <v>0.50701958329607444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179</v>
      </c>
      <c r="AK53" t="s">
        <v>179</v>
      </c>
      <c r="AL53" t="s">
        <v>179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">
      <c r="A54" t="s">
        <v>224</v>
      </c>
      <c r="B54">
        <v>666</v>
      </c>
      <c r="C54">
        <v>7993</v>
      </c>
      <c r="D54">
        <v>0.55972696492067953</v>
      </c>
      <c r="E54">
        <v>0.51509519005829518</v>
      </c>
      <c r="F54" t="s">
        <v>179</v>
      </c>
      <c r="G54">
        <v>9</v>
      </c>
      <c r="H54">
        <v>0.55972696492067953</v>
      </c>
      <c r="I54">
        <v>0.56305873749654656</v>
      </c>
      <c r="J54">
        <v>0.50996714129244247</v>
      </c>
      <c r="K54">
        <v>0.52110491650644497</v>
      </c>
      <c r="L54">
        <v>0.51827104502893395</v>
      </c>
      <c r="M54">
        <v>0.52069874396166804</v>
      </c>
      <c r="N54">
        <v>0.51831885000356503</v>
      </c>
      <c r="O54">
        <v>0.52169212915773377</v>
      </c>
      <c r="P54">
        <v>0.51509519005829518</v>
      </c>
      <c r="Q54" t="s">
        <v>179</v>
      </c>
      <c r="R54" t="s">
        <v>179</v>
      </c>
      <c r="S54" t="s">
        <v>179</v>
      </c>
      <c r="T54" t="s">
        <v>179</v>
      </c>
      <c r="U54" t="s">
        <v>179</v>
      </c>
      <c r="V54" t="s">
        <v>179</v>
      </c>
      <c r="W54" t="s">
        <v>179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 t="s">
        <v>179</v>
      </c>
      <c r="AN54" t="s">
        <v>179</v>
      </c>
      <c r="AO54" t="s">
        <v>179</v>
      </c>
      <c r="AP54" t="s">
        <v>179</v>
      </c>
      <c r="AQ54" t="s">
        <v>179</v>
      </c>
      <c r="AR54" t="s">
        <v>179</v>
      </c>
      <c r="AS54" t="s">
        <v>179</v>
      </c>
      <c r="AT54" t="s">
        <v>179</v>
      </c>
      <c r="AU54" t="s">
        <v>179</v>
      </c>
      <c r="AV54" t="s">
        <v>179</v>
      </c>
      <c r="AW54" t="s">
        <v>179</v>
      </c>
      <c r="AX54" t="s">
        <v>179</v>
      </c>
    </row>
    <row r="55" spans="1:50" x14ac:dyDescent="0.2">
      <c r="A55" t="s">
        <v>224</v>
      </c>
      <c r="B55">
        <v>752</v>
      </c>
      <c r="C55">
        <v>7994</v>
      </c>
      <c r="D55">
        <v>0.56030770744765879</v>
      </c>
      <c r="E55">
        <v>0.35833333333333334</v>
      </c>
      <c r="F55">
        <v>6</v>
      </c>
      <c r="G55" t="s">
        <v>179</v>
      </c>
      <c r="H55">
        <v>0.56030770744765879</v>
      </c>
      <c r="I55">
        <v>0.54638452914798208</v>
      </c>
      <c r="J55">
        <v>0.52291346247498416</v>
      </c>
      <c r="K55">
        <v>0.54522623648073887</v>
      </c>
      <c r="L55">
        <v>0.53928083540865202</v>
      </c>
      <c r="M55">
        <v>0.51495286623739356</v>
      </c>
      <c r="N55">
        <v>0.35833333333333334</v>
      </c>
      <c r="O55" t="s">
        <v>179</v>
      </c>
      <c r="P55" t="s">
        <v>179</v>
      </c>
      <c r="Q55" t="s">
        <v>179</v>
      </c>
      <c r="R55" t="s">
        <v>179</v>
      </c>
      <c r="S55" t="s">
        <v>179</v>
      </c>
      <c r="T55" t="s">
        <v>179</v>
      </c>
      <c r="U55" t="s">
        <v>179</v>
      </c>
      <c r="V55" t="s">
        <v>179</v>
      </c>
      <c r="W55" t="s">
        <v>179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179</v>
      </c>
      <c r="AF55" t="s">
        <v>179</v>
      </c>
      <c r="AG55" t="s">
        <v>179</v>
      </c>
      <c r="AH55" t="s">
        <v>179</v>
      </c>
      <c r="AI55" t="s">
        <v>179</v>
      </c>
      <c r="AJ55" t="s">
        <v>179</v>
      </c>
      <c r="AK55" t="s">
        <v>179</v>
      </c>
      <c r="AL55" t="s">
        <v>179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</row>
    <row r="56" spans="1:50" x14ac:dyDescent="0.2">
      <c r="A56" t="s">
        <v>224</v>
      </c>
      <c r="B56">
        <v>672</v>
      </c>
      <c r="C56">
        <v>8046</v>
      </c>
      <c r="D56">
        <v>0.56731913827555347</v>
      </c>
      <c r="E56">
        <v>0.30599796419859399</v>
      </c>
      <c r="F56">
        <v>11</v>
      </c>
      <c r="G56" t="s">
        <v>179</v>
      </c>
      <c r="H56">
        <v>0.56731913827555347</v>
      </c>
      <c r="I56">
        <v>0.56191588552419225</v>
      </c>
      <c r="J56">
        <v>0.53720930232558139</v>
      </c>
      <c r="K56">
        <v>0.53856863185228099</v>
      </c>
      <c r="L56">
        <v>0.53066985381245335</v>
      </c>
      <c r="M56">
        <v>0.53224573302190026</v>
      </c>
      <c r="N56">
        <v>0.53880051301160514</v>
      </c>
      <c r="O56">
        <v>0.51374552638602733</v>
      </c>
      <c r="P56">
        <v>0.48752367787563561</v>
      </c>
      <c r="Q56">
        <v>0.48604526447364943</v>
      </c>
      <c r="R56">
        <v>0.46300035952606983</v>
      </c>
      <c r="S56">
        <v>0.30599796419859399</v>
      </c>
      <c r="T56" t="s">
        <v>179</v>
      </c>
      <c r="U56" t="s">
        <v>179</v>
      </c>
      <c r="V56" t="s">
        <v>179</v>
      </c>
      <c r="W56" t="s">
        <v>179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179</v>
      </c>
      <c r="AK56" t="s">
        <v>179</v>
      </c>
      <c r="AL56" t="s">
        <v>179</v>
      </c>
      <c r="AM56">
        <v>0</v>
      </c>
      <c r="AN56">
        <v>0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</row>
    <row r="57" spans="1:50" x14ac:dyDescent="0.2">
      <c r="A57" t="s">
        <v>224</v>
      </c>
      <c r="B57">
        <v>668</v>
      </c>
      <c r="C57">
        <v>8060</v>
      </c>
      <c r="D57">
        <v>0.56210697614029659</v>
      </c>
      <c r="E57">
        <v>0.16633333333333333</v>
      </c>
      <c r="F57">
        <v>6</v>
      </c>
      <c r="G57" t="s">
        <v>179</v>
      </c>
      <c r="H57">
        <v>0.56210697614029659</v>
      </c>
      <c r="I57">
        <v>0.56766434340646499</v>
      </c>
      <c r="J57">
        <v>0.53766825238214233</v>
      </c>
      <c r="K57">
        <v>0.54285115954426977</v>
      </c>
      <c r="L57">
        <v>0.53745318787562057</v>
      </c>
      <c r="M57">
        <v>0.53326603850287913</v>
      </c>
      <c r="N57">
        <v>0.16633333333333333</v>
      </c>
      <c r="O57" t="s">
        <v>179</v>
      </c>
      <c r="P57" t="s">
        <v>179</v>
      </c>
      <c r="Q57" t="s">
        <v>179</v>
      </c>
      <c r="R57" t="s">
        <v>179</v>
      </c>
      <c r="S57" t="s">
        <v>179</v>
      </c>
      <c r="T57" t="s">
        <v>179</v>
      </c>
      <c r="U57" t="s">
        <v>179</v>
      </c>
      <c r="V57" t="s">
        <v>179</v>
      </c>
      <c r="W57" t="s">
        <v>179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179</v>
      </c>
      <c r="AF57" t="s">
        <v>179</v>
      </c>
      <c r="AG57" t="s">
        <v>179</v>
      </c>
      <c r="AH57" t="s">
        <v>179</v>
      </c>
      <c r="AI57" t="s">
        <v>179</v>
      </c>
      <c r="AJ57" t="s">
        <v>179</v>
      </c>
      <c r="AK57" t="s">
        <v>179</v>
      </c>
      <c r="AL57" t="s">
        <v>179</v>
      </c>
      <c r="AM57">
        <v>0</v>
      </c>
      <c r="AN57">
        <v>0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</row>
    <row r="58" spans="1:50" x14ac:dyDescent="0.2">
      <c r="A58" t="s">
        <v>224</v>
      </c>
      <c r="B58">
        <v>658</v>
      </c>
      <c r="C58">
        <v>8134</v>
      </c>
      <c r="D58">
        <v>0.50076380772071072</v>
      </c>
      <c r="E58">
        <v>0.47433821253265457</v>
      </c>
      <c r="F58" t="s">
        <v>179</v>
      </c>
      <c r="G58">
        <v>5</v>
      </c>
      <c r="H58">
        <v>0.50076380772071072</v>
      </c>
      <c r="I58">
        <v>0.49284334848617378</v>
      </c>
      <c r="J58">
        <v>0.46625686633533869</v>
      </c>
      <c r="K58">
        <v>0.46852705228935249</v>
      </c>
      <c r="L58">
        <v>0.47433821253265457</v>
      </c>
      <c r="M58" t="s">
        <v>179</v>
      </c>
      <c r="N58" t="s">
        <v>179</v>
      </c>
      <c r="O58" t="s">
        <v>179</v>
      </c>
      <c r="P58" t="s">
        <v>179</v>
      </c>
      <c r="Q58" t="s">
        <v>179</v>
      </c>
      <c r="R58" t="s">
        <v>179</v>
      </c>
      <c r="S58" t="s">
        <v>179</v>
      </c>
      <c r="T58" t="s">
        <v>179</v>
      </c>
      <c r="U58" t="s">
        <v>179</v>
      </c>
      <c r="V58" t="s">
        <v>179</v>
      </c>
      <c r="W58" t="s">
        <v>179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 t="s">
        <v>179</v>
      </c>
      <c r="AN58" t="s">
        <v>179</v>
      </c>
      <c r="AO58" t="s">
        <v>179</v>
      </c>
      <c r="AP58" t="s">
        <v>179</v>
      </c>
      <c r="AQ58" t="s">
        <v>179</v>
      </c>
      <c r="AR58" t="s">
        <v>179</v>
      </c>
      <c r="AS58" t="s">
        <v>179</v>
      </c>
      <c r="AT58" t="s">
        <v>179</v>
      </c>
      <c r="AU58" t="s">
        <v>179</v>
      </c>
      <c r="AV58" t="s">
        <v>179</v>
      </c>
      <c r="AW58" t="s">
        <v>179</v>
      </c>
      <c r="AX58" t="s">
        <v>179</v>
      </c>
    </row>
    <row r="59" spans="1:50" x14ac:dyDescent="0.2">
      <c r="A59" t="s">
        <v>224</v>
      </c>
      <c r="B59">
        <v>674</v>
      </c>
      <c r="C59">
        <v>8161</v>
      </c>
      <c r="D59">
        <v>0.56250336080142194</v>
      </c>
      <c r="E59">
        <v>0.35659317480691749</v>
      </c>
      <c r="F59">
        <v>10</v>
      </c>
      <c r="G59" t="s">
        <v>179</v>
      </c>
      <c r="H59">
        <v>0.56250336080142194</v>
      </c>
      <c r="I59">
        <v>0.58420245398773007</v>
      </c>
      <c r="J59">
        <v>0.54916183107672467</v>
      </c>
      <c r="K59">
        <v>0.56734880879657912</v>
      </c>
      <c r="L59">
        <v>0.52369424396669528</v>
      </c>
      <c r="M59">
        <v>0.54030742764753326</v>
      </c>
      <c r="N59">
        <v>0.53957959155512625</v>
      </c>
      <c r="O59">
        <v>0.53839092661434662</v>
      </c>
      <c r="P59">
        <v>0.49283604281652443</v>
      </c>
      <c r="Q59">
        <v>0.43812709030100327</v>
      </c>
      <c r="R59">
        <v>0.35659317480691749</v>
      </c>
      <c r="S59" t="s">
        <v>179</v>
      </c>
      <c r="T59" t="s">
        <v>179</v>
      </c>
      <c r="U59" t="s">
        <v>179</v>
      </c>
      <c r="V59" t="s">
        <v>179</v>
      </c>
      <c r="W59" t="s">
        <v>179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179</v>
      </c>
      <c r="AJ59" t="s">
        <v>179</v>
      </c>
      <c r="AK59" t="s">
        <v>179</v>
      </c>
      <c r="AL59" t="s">
        <v>179</v>
      </c>
      <c r="AM59">
        <v>0</v>
      </c>
      <c r="AN59">
        <v>0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</row>
    <row r="60" spans="1:50" x14ac:dyDescent="0.2">
      <c r="A60" t="s">
        <v>224</v>
      </c>
      <c r="B60">
        <v>756</v>
      </c>
      <c r="C60">
        <v>8197</v>
      </c>
      <c r="D60">
        <v>0.55317891413542708</v>
      </c>
      <c r="E60">
        <v>0.33217082073936288</v>
      </c>
      <c r="F60">
        <v>11</v>
      </c>
      <c r="G60" t="s">
        <v>179</v>
      </c>
      <c r="H60">
        <v>0.55317891413542708</v>
      </c>
      <c r="I60">
        <v>0.55361744026948745</v>
      </c>
      <c r="J60">
        <v>0.51939773932845801</v>
      </c>
      <c r="K60">
        <v>0.53004711171886032</v>
      </c>
      <c r="L60">
        <v>0.52056128777195021</v>
      </c>
      <c r="M60">
        <v>0.51807951073738356</v>
      </c>
      <c r="N60">
        <v>0.52050230650948237</v>
      </c>
      <c r="O60">
        <v>0.51169773445543976</v>
      </c>
      <c r="P60">
        <v>0.494044011332536</v>
      </c>
      <c r="Q60">
        <v>0.4580838323353294</v>
      </c>
      <c r="R60">
        <v>0.43556730891955864</v>
      </c>
      <c r="S60">
        <v>0.33217082073936288</v>
      </c>
      <c r="T60" t="s">
        <v>179</v>
      </c>
      <c r="U60" t="s">
        <v>179</v>
      </c>
      <c r="V60" t="s">
        <v>179</v>
      </c>
      <c r="W60">
        <v>0.51706917724109702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179</v>
      </c>
      <c r="AK60" t="s">
        <v>179</v>
      </c>
      <c r="AL60" t="s">
        <v>179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 spans="1:50" x14ac:dyDescent="0.2">
      <c r="A61" t="s">
        <v>224</v>
      </c>
      <c r="B61">
        <v>675</v>
      </c>
      <c r="C61">
        <v>8216</v>
      </c>
      <c r="D61">
        <v>0.574205448354143</v>
      </c>
      <c r="E61">
        <v>0.28033333333333332</v>
      </c>
      <c r="F61">
        <v>8</v>
      </c>
      <c r="G61" t="s">
        <v>179</v>
      </c>
      <c r="H61">
        <v>0.574205448354143</v>
      </c>
      <c r="I61">
        <v>0.57053809436915348</v>
      </c>
      <c r="J61">
        <v>0.53692441355343179</v>
      </c>
      <c r="K61">
        <v>0.55053032944336144</v>
      </c>
      <c r="L61">
        <v>0.53294472040204854</v>
      </c>
      <c r="M61">
        <v>0.52855587710856122</v>
      </c>
      <c r="N61">
        <v>0.53259798863796526</v>
      </c>
      <c r="O61">
        <v>0.52270896262030508</v>
      </c>
      <c r="P61">
        <v>0.28033333333333332</v>
      </c>
      <c r="Q61" t="s">
        <v>179</v>
      </c>
      <c r="R61" t="s">
        <v>179</v>
      </c>
      <c r="S61" t="s">
        <v>179</v>
      </c>
      <c r="T61" t="s">
        <v>179</v>
      </c>
      <c r="U61" t="s">
        <v>179</v>
      </c>
      <c r="V61" t="s">
        <v>179</v>
      </c>
      <c r="W61" t="s">
        <v>179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179</v>
      </c>
      <c r="AH61" t="s">
        <v>179</v>
      </c>
      <c r="AI61" t="s">
        <v>179</v>
      </c>
      <c r="AJ61" t="s">
        <v>179</v>
      </c>
      <c r="AK61" t="s">
        <v>179</v>
      </c>
      <c r="AL61" t="s">
        <v>179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</row>
    <row r="62" spans="1:50" x14ac:dyDescent="0.2">
      <c r="A62" t="s">
        <v>224</v>
      </c>
      <c r="B62">
        <v>652</v>
      </c>
      <c r="C62">
        <v>8250</v>
      </c>
      <c r="D62">
        <v>0.57251908089173709</v>
      </c>
      <c r="E62">
        <v>0.27301392420939014</v>
      </c>
      <c r="F62">
        <v>11</v>
      </c>
      <c r="G62" t="s">
        <v>179</v>
      </c>
      <c r="H62">
        <v>0.57251908089173709</v>
      </c>
      <c r="I62">
        <v>0.56790398106299189</v>
      </c>
      <c r="J62">
        <v>0.53389346506923918</v>
      </c>
      <c r="K62">
        <v>0.53170617852161783</v>
      </c>
      <c r="L62">
        <v>0.53093545517847907</v>
      </c>
      <c r="M62">
        <v>0.53121958003059377</v>
      </c>
      <c r="N62">
        <v>0.51081465506207968</v>
      </c>
      <c r="O62">
        <v>0.52848325139895147</v>
      </c>
      <c r="P62">
        <v>0.51965323864067825</v>
      </c>
      <c r="Q62">
        <v>0.47491008734372325</v>
      </c>
      <c r="R62">
        <v>0.4276556115829902</v>
      </c>
      <c r="S62">
        <v>0.27301392420939014</v>
      </c>
      <c r="T62" t="s">
        <v>179</v>
      </c>
      <c r="U62" t="s">
        <v>179</v>
      </c>
      <c r="V62" t="s">
        <v>179</v>
      </c>
      <c r="W62">
        <v>0.49505697050938335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179</v>
      </c>
      <c r="AK62" t="s">
        <v>179</v>
      </c>
      <c r="AL62" t="s">
        <v>179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 x14ac:dyDescent="0.2">
      <c r="A63" t="s">
        <v>224</v>
      </c>
      <c r="B63">
        <v>669</v>
      </c>
      <c r="C63">
        <v>8263</v>
      </c>
      <c r="D63">
        <v>0.56342914125018051</v>
      </c>
      <c r="E63">
        <v>0.46467627148064566</v>
      </c>
      <c r="F63" t="s">
        <v>179</v>
      </c>
      <c r="G63">
        <v>9</v>
      </c>
      <c r="H63">
        <v>0.56342914125018051</v>
      </c>
      <c r="I63">
        <v>0.53692827905321228</v>
      </c>
      <c r="J63">
        <v>0.50767813267813267</v>
      </c>
      <c r="K63">
        <v>0.51537199485228524</v>
      </c>
      <c r="L63">
        <v>0.50269522729239513</v>
      </c>
      <c r="M63">
        <v>0.49785366806540304</v>
      </c>
      <c r="N63">
        <v>0.4972245394840864</v>
      </c>
      <c r="O63">
        <v>0.49446594132817534</v>
      </c>
      <c r="P63">
        <v>0.46467627148064566</v>
      </c>
      <c r="Q63" t="s">
        <v>179</v>
      </c>
      <c r="R63" t="s">
        <v>179</v>
      </c>
      <c r="S63" t="s">
        <v>179</v>
      </c>
      <c r="T63" t="s">
        <v>179</v>
      </c>
      <c r="U63" t="s">
        <v>179</v>
      </c>
      <c r="V63" t="s">
        <v>179</v>
      </c>
      <c r="W63" t="s">
        <v>179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 t="s">
        <v>179</v>
      </c>
      <c r="AN63" t="s">
        <v>179</v>
      </c>
      <c r="AO63" t="s">
        <v>179</v>
      </c>
      <c r="AP63" t="s">
        <v>179</v>
      </c>
      <c r="AQ63" t="s">
        <v>179</v>
      </c>
      <c r="AR63" t="s">
        <v>179</v>
      </c>
      <c r="AS63" t="s">
        <v>179</v>
      </c>
      <c r="AT63" t="s">
        <v>179</v>
      </c>
      <c r="AU63" t="s">
        <v>179</v>
      </c>
      <c r="AV63" t="s">
        <v>179</v>
      </c>
      <c r="AW63" t="s">
        <v>179</v>
      </c>
      <c r="AX63" t="s">
        <v>179</v>
      </c>
    </row>
    <row r="64" spans="1:50" x14ac:dyDescent="0.2">
      <c r="A64" t="s">
        <v>224</v>
      </c>
      <c r="B64">
        <v>670</v>
      </c>
      <c r="C64">
        <v>8317</v>
      </c>
      <c r="D64">
        <v>0.5784117252605554</v>
      </c>
      <c r="E64">
        <v>0.26569075854057883</v>
      </c>
      <c r="F64">
        <v>10</v>
      </c>
      <c r="G64" t="s">
        <v>179</v>
      </c>
      <c r="H64">
        <v>0.5784117252605554</v>
      </c>
      <c r="I64">
        <v>0.55473976178821993</v>
      </c>
      <c r="J64">
        <v>0.54303206976982021</v>
      </c>
      <c r="K64">
        <v>0.54600160470714088</v>
      </c>
      <c r="L64">
        <v>0.53424457372193512</v>
      </c>
      <c r="M64">
        <v>0.53603382393061727</v>
      </c>
      <c r="N64">
        <v>0.53700985774266163</v>
      </c>
      <c r="O64">
        <v>0.52286912167639987</v>
      </c>
      <c r="P64">
        <v>0.51086678860069945</v>
      </c>
      <c r="Q64">
        <v>0.43901416143551114</v>
      </c>
      <c r="R64">
        <v>0.26569075854057883</v>
      </c>
      <c r="S64" t="s">
        <v>179</v>
      </c>
      <c r="T64" t="s">
        <v>179</v>
      </c>
      <c r="U64" t="s">
        <v>179</v>
      </c>
      <c r="V64" t="s">
        <v>179</v>
      </c>
      <c r="W64" t="s">
        <v>179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179</v>
      </c>
      <c r="AJ64" t="s">
        <v>179</v>
      </c>
      <c r="AK64" t="s">
        <v>179</v>
      </c>
      <c r="AL64" t="s">
        <v>179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</row>
    <row r="65" spans="1:50" x14ac:dyDescent="0.2">
      <c r="A65" t="s">
        <v>224</v>
      </c>
      <c r="B65">
        <v>771</v>
      </c>
      <c r="C65">
        <v>8397</v>
      </c>
      <c r="D65">
        <v>0.53913452453058752</v>
      </c>
      <c r="E65">
        <v>0.19533333333333333</v>
      </c>
      <c r="F65">
        <v>8</v>
      </c>
      <c r="G65" t="s">
        <v>179</v>
      </c>
      <c r="H65">
        <v>0.53913452453058752</v>
      </c>
      <c r="I65">
        <v>0.52799268200866989</v>
      </c>
      <c r="J65">
        <v>0.52237048665620101</v>
      </c>
      <c r="K65">
        <v>0.51255060728744939</v>
      </c>
      <c r="L65">
        <v>0.51733333333333331</v>
      </c>
      <c r="M65">
        <v>0.49113639695155697</v>
      </c>
      <c r="N65">
        <v>0.501</v>
      </c>
      <c r="O65">
        <v>0.48347107731812766</v>
      </c>
      <c r="P65">
        <v>0.19533333333333333</v>
      </c>
      <c r="Q65" t="s">
        <v>179</v>
      </c>
      <c r="R65" t="s">
        <v>179</v>
      </c>
      <c r="S65" t="s">
        <v>179</v>
      </c>
      <c r="T65" t="s">
        <v>179</v>
      </c>
      <c r="U65" t="s">
        <v>179</v>
      </c>
      <c r="V65" t="s">
        <v>179</v>
      </c>
      <c r="W65" t="s">
        <v>179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179</v>
      </c>
      <c r="AH65" t="s">
        <v>179</v>
      </c>
      <c r="AI65" t="s">
        <v>179</v>
      </c>
      <c r="AJ65" t="s">
        <v>179</v>
      </c>
      <c r="AK65" t="s">
        <v>179</v>
      </c>
      <c r="AL65" t="s">
        <v>179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</row>
    <row r="66" spans="1:50" x14ac:dyDescent="0.2">
      <c r="A66" t="s">
        <v>224</v>
      </c>
      <c r="B66">
        <v>656</v>
      </c>
      <c r="C66">
        <v>8410</v>
      </c>
      <c r="D66">
        <v>0.54501053699009072</v>
      </c>
      <c r="E66">
        <v>0.37584692874692877</v>
      </c>
      <c r="F66">
        <v>8</v>
      </c>
      <c r="G66" t="s">
        <v>179</v>
      </c>
      <c r="H66">
        <v>0.54501053699009072</v>
      </c>
      <c r="I66">
        <v>0.53692243945408569</v>
      </c>
      <c r="J66">
        <v>0.51925801380153502</v>
      </c>
      <c r="K66">
        <v>0.50672296264131733</v>
      </c>
      <c r="L66">
        <v>0.49209982493940213</v>
      </c>
      <c r="M66">
        <v>0.4768477552120019</v>
      </c>
      <c r="N66">
        <v>0.48459069020866774</v>
      </c>
      <c r="O66">
        <v>0.44962260498263812</v>
      </c>
      <c r="P66">
        <v>0.37584692874692877</v>
      </c>
      <c r="Q66" t="s">
        <v>179</v>
      </c>
      <c r="R66" t="s">
        <v>179</v>
      </c>
      <c r="S66" t="s">
        <v>179</v>
      </c>
      <c r="T66" t="s">
        <v>179</v>
      </c>
      <c r="U66" t="s">
        <v>179</v>
      </c>
      <c r="V66" t="s">
        <v>179</v>
      </c>
      <c r="W66" t="s">
        <v>179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179</v>
      </c>
      <c r="AH66" t="s">
        <v>179</v>
      </c>
      <c r="AI66" t="s">
        <v>179</v>
      </c>
      <c r="AJ66" t="s">
        <v>179</v>
      </c>
      <c r="AK66" t="s">
        <v>179</v>
      </c>
      <c r="AL66" t="s">
        <v>179</v>
      </c>
      <c r="AM66">
        <v>0</v>
      </c>
      <c r="AN66">
        <v>0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</row>
    <row r="67" spans="1:50" x14ac:dyDescent="0.2">
      <c r="A67" t="s">
        <v>224</v>
      </c>
      <c r="B67">
        <v>768</v>
      </c>
      <c r="C67">
        <v>8473</v>
      </c>
      <c r="D67">
        <v>0.5521171653274064</v>
      </c>
      <c r="E67">
        <v>0.37465771751545535</v>
      </c>
      <c r="F67">
        <v>11</v>
      </c>
      <c r="G67" t="s">
        <v>179</v>
      </c>
      <c r="H67">
        <v>0.5521171653274064</v>
      </c>
      <c r="I67">
        <v>0.57610657798478626</v>
      </c>
      <c r="J67">
        <v>0.5491998735175424</v>
      </c>
      <c r="K67">
        <v>0.54059149630667724</v>
      </c>
      <c r="L67">
        <v>0.53357197920517507</v>
      </c>
      <c r="M67">
        <v>0.5312882161194874</v>
      </c>
      <c r="N67">
        <v>0.54084392689450189</v>
      </c>
      <c r="O67">
        <v>0.5399291571865934</v>
      </c>
      <c r="P67">
        <v>0.53749538517861295</v>
      </c>
      <c r="Q67">
        <v>0.51506779739063691</v>
      </c>
      <c r="R67">
        <v>0.4930952851447391</v>
      </c>
      <c r="S67">
        <v>0.37465771751545535</v>
      </c>
      <c r="T67" t="s">
        <v>179</v>
      </c>
      <c r="U67" t="s">
        <v>179</v>
      </c>
      <c r="V67" t="s">
        <v>179</v>
      </c>
      <c r="W67">
        <v>0.49076992345790188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179</v>
      </c>
      <c r="AK67" t="s">
        <v>179</v>
      </c>
      <c r="AL67" t="s">
        <v>179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">
      <c r="A68" t="s">
        <v>224</v>
      </c>
      <c r="B68">
        <v>659</v>
      </c>
      <c r="C68">
        <v>8478</v>
      </c>
      <c r="D68">
        <v>0.49233333333333329</v>
      </c>
      <c r="E68">
        <v>0.34398091637945716</v>
      </c>
      <c r="F68">
        <v>10</v>
      </c>
      <c r="G68" t="s">
        <v>179</v>
      </c>
      <c r="H68">
        <v>0.49233333333333329</v>
      </c>
      <c r="I68">
        <v>0.49833333333333335</v>
      </c>
      <c r="J68">
        <v>0.47300000000000003</v>
      </c>
      <c r="K68">
        <v>0.47366666666666662</v>
      </c>
      <c r="L68">
        <v>0.47866666666666663</v>
      </c>
      <c r="M68">
        <v>0.47766666666666668</v>
      </c>
      <c r="N68">
        <v>0.47628187812603162</v>
      </c>
      <c r="O68">
        <v>0.477902774597744</v>
      </c>
      <c r="P68">
        <v>0.44878103024368726</v>
      </c>
      <c r="Q68">
        <v>0.39393099205993481</v>
      </c>
      <c r="R68">
        <v>0.34398091637945716</v>
      </c>
      <c r="S68" t="s">
        <v>179</v>
      </c>
      <c r="T68" t="s">
        <v>179</v>
      </c>
      <c r="U68" t="s">
        <v>179</v>
      </c>
      <c r="V68" t="s">
        <v>179</v>
      </c>
      <c r="W68">
        <v>0.53696369636963692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179</v>
      </c>
      <c r="AJ68" t="s">
        <v>179</v>
      </c>
      <c r="AK68" t="s">
        <v>179</v>
      </c>
      <c r="AL68" t="s">
        <v>179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">
      <c r="A69" t="s">
        <v>224</v>
      </c>
      <c r="B69">
        <v>652</v>
      </c>
      <c r="C69" t="s">
        <v>9</v>
      </c>
      <c r="D69">
        <v>0.57231030033582186</v>
      </c>
      <c r="E69">
        <v>0.40037481025617305</v>
      </c>
      <c r="F69">
        <v>9</v>
      </c>
      <c r="G69" t="s">
        <v>179</v>
      </c>
      <c r="H69">
        <v>0.57231030033582186</v>
      </c>
      <c r="I69">
        <v>0.55536874162435501</v>
      </c>
      <c r="J69">
        <v>0.52529668956901931</v>
      </c>
      <c r="K69">
        <v>0.53031760564468677</v>
      </c>
      <c r="L69">
        <v>0.49804478040212646</v>
      </c>
      <c r="M69">
        <v>0.5100769786708973</v>
      </c>
      <c r="N69">
        <v>0.53963103059066941</v>
      </c>
      <c r="O69">
        <v>0.51099674708015574</v>
      </c>
      <c r="P69">
        <v>0.48173120677731673</v>
      </c>
      <c r="Q69">
        <v>0.40037481025617305</v>
      </c>
      <c r="R69" t="s">
        <v>179</v>
      </c>
      <c r="S69" t="s">
        <v>179</v>
      </c>
      <c r="T69" t="s">
        <v>179</v>
      </c>
      <c r="U69" t="s">
        <v>179</v>
      </c>
      <c r="V69" t="s">
        <v>179</v>
      </c>
      <c r="W69">
        <v>0.51484165591184339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s">
        <v>179</v>
      </c>
      <c r="AI69" t="s">
        <v>179</v>
      </c>
      <c r="AJ69" t="s">
        <v>179</v>
      </c>
      <c r="AK69" t="s">
        <v>179</v>
      </c>
      <c r="AL69" t="s">
        <v>179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">
      <c r="A70" t="s">
        <v>225</v>
      </c>
      <c r="B70">
        <v>652</v>
      </c>
      <c r="C70" t="s">
        <v>98</v>
      </c>
      <c r="D70">
        <v>0.58205865105199162</v>
      </c>
      <c r="E70">
        <v>0.59189703322944909</v>
      </c>
      <c r="F70" t="s">
        <v>179</v>
      </c>
      <c r="G70" t="s">
        <v>179</v>
      </c>
      <c r="H70">
        <v>0.58205865105199162</v>
      </c>
      <c r="I70">
        <v>0.58477416297933626</v>
      </c>
      <c r="J70">
        <v>0.58252380041212837</v>
      </c>
      <c r="K70">
        <v>0.58898853278019359</v>
      </c>
      <c r="L70">
        <v>0.54611158583183217</v>
      </c>
      <c r="M70">
        <v>0.55950402731702231</v>
      </c>
      <c r="N70">
        <v>0.59908062823507424</v>
      </c>
      <c r="O70">
        <v>0.60692329496224784</v>
      </c>
      <c r="P70">
        <v>0.59548744572158374</v>
      </c>
      <c r="Q70">
        <v>0.57234894032887396</v>
      </c>
      <c r="R70">
        <v>0.54411204051120443</v>
      </c>
      <c r="S70">
        <v>0.57762998437230939</v>
      </c>
      <c r="T70">
        <v>0.5882041492267156</v>
      </c>
      <c r="U70">
        <v>0.58876367793565232</v>
      </c>
      <c r="V70">
        <v>0.59189703322944909</v>
      </c>
      <c r="W70">
        <v>0.57867892976588631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">
      <c r="A71" t="s">
        <v>224</v>
      </c>
      <c r="B71">
        <v>652</v>
      </c>
      <c r="C71" t="s">
        <v>133</v>
      </c>
      <c r="D71">
        <v>0.5422088063360363</v>
      </c>
      <c r="E71">
        <v>0.38754218847780181</v>
      </c>
      <c r="F71" t="s">
        <v>179</v>
      </c>
      <c r="G71">
        <v>10</v>
      </c>
      <c r="H71">
        <v>0.5422088063360363</v>
      </c>
      <c r="I71">
        <v>0.55438215561422588</v>
      </c>
      <c r="J71">
        <v>0.52828065628430998</v>
      </c>
      <c r="K71">
        <v>0.50743390165930891</v>
      </c>
      <c r="L71">
        <v>0.48923559844605435</v>
      </c>
      <c r="M71">
        <v>0.49298155997447968</v>
      </c>
      <c r="N71">
        <v>0.47297232461780253</v>
      </c>
      <c r="O71">
        <v>0.47059367879966657</v>
      </c>
      <c r="P71">
        <v>0.45701946612550731</v>
      </c>
      <c r="Q71">
        <v>0.38754218847780181</v>
      </c>
      <c r="R71" t="s">
        <v>179</v>
      </c>
      <c r="S71" t="s">
        <v>179</v>
      </c>
      <c r="T71" t="s">
        <v>179</v>
      </c>
      <c r="U71" t="s">
        <v>179</v>
      </c>
      <c r="V71" t="s">
        <v>179</v>
      </c>
      <c r="W71" t="s">
        <v>179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1</v>
      </c>
      <c r="AM71" t="s">
        <v>179</v>
      </c>
      <c r="AN71" t="s">
        <v>179</v>
      </c>
      <c r="AO71" t="s">
        <v>179</v>
      </c>
      <c r="AP71" t="s">
        <v>179</v>
      </c>
      <c r="AQ71" t="s">
        <v>179</v>
      </c>
      <c r="AR71" t="s">
        <v>179</v>
      </c>
      <c r="AS71" t="s">
        <v>179</v>
      </c>
      <c r="AT71" t="s">
        <v>179</v>
      </c>
      <c r="AU71" t="s">
        <v>179</v>
      </c>
      <c r="AV71" t="s">
        <v>179</v>
      </c>
      <c r="AW71" t="s">
        <v>179</v>
      </c>
      <c r="AX71" t="s">
        <v>179</v>
      </c>
    </row>
    <row r="72" spans="1:50" x14ac:dyDescent="0.2">
      <c r="A72" t="s">
        <v>224</v>
      </c>
      <c r="B72">
        <v>653</v>
      </c>
      <c r="C72" t="s">
        <v>28</v>
      </c>
      <c r="D72">
        <v>0.57325691710676607</v>
      </c>
      <c r="E72">
        <v>0.208666667</v>
      </c>
      <c r="F72">
        <v>11</v>
      </c>
      <c r="G72" t="s">
        <v>179</v>
      </c>
      <c r="H72">
        <v>0.57325691710676607</v>
      </c>
      <c r="I72">
        <v>0.57163286465924135</v>
      </c>
      <c r="J72">
        <v>0.52420517569672842</v>
      </c>
      <c r="K72">
        <v>0.53850226212425589</v>
      </c>
      <c r="L72">
        <v>0.52585837888400999</v>
      </c>
      <c r="M72">
        <v>0.53035695838816621</v>
      </c>
      <c r="N72">
        <v>0.53308919940837463</v>
      </c>
      <c r="O72">
        <v>0.52723604572965699</v>
      </c>
      <c r="P72">
        <v>0.49620887634684457</v>
      </c>
      <c r="Q72">
        <v>0.47423783205562486</v>
      </c>
      <c r="R72">
        <v>0.43022618770818638</v>
      </c>
      <c r="S72">
        <v>0.208666667</v>
      </c>
      <c r="T72" t="s">
        <v>179</v>
      </c>
      <c r="U72" t="s">
        <v>179</v>
      </c>
      <c r="V72" t="s">
        <v>179</v>
      </c>
      <c r="W72" t="s">
        <v>179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179</v>
      </c>
      <c r="AK72" t="s">
        <v>179</v>
      </c>
      <c r="AL72" t="s">
        <v>179</v>
      </c>
      <c r="AM72">
        <v>0</v>
      </c>
      <c r="AN72">
        <v>0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</row>
    <row r="73" spans="1:50" x14ac:dyDescent="0.2">
      <c r="A73" t="s">
        <v>225</v>
      </c>
      <c r="B73">
        <v>653</v>
      </c>
      <c r="C73" t="s">
        <v>93</v>
      </c>
      <c r="D73">
        <v>0.57399396974538164</v>
      </c>
      <c r="E73">
        <v>0.53765525915832502</v>
      </c>
      <c r="F73" t="s">
        <v>179</v>
      </c>
      <c r="G73" t="s">
        <v>179</v>
      </c>
      <c r="H73">
        <v>0.57399396974538164</v>
      </c>
      <c r="I73">
        <v>0.56771379910719477</v>
      </c>
      <c r="J73">
        <v>0.54822075592476138</v>
      </c>
      <c r="K73">
        <v>0.57234804006968643</v>
      </c>
      <c r="L73">
        <v>0.5222990889151341</v>
      </c>
      <c r="M73">
        <v>0.56800411738375345</v>
      </c>
      <c r="N73">
        <v>0.57406479076353822</v>
      </c>
      <c r="O73">
        <v>0.57328089821829686</v>
      </c>
      <c r="P73">
        <v>0.56321544806110857</v>
      </c>
      <c r="Q73">
        <v>0.5740998372503906</v>
      </c>
      <c r="R73">
        <v>0.54776331496792929</v>
      </c>
      <c r="S73">
        <v>0.53701746942473205</v>
      </c>
      <c r="T73">
        <v>0.56457641762754696</v>
      </c>
      <c r="U73">
        <v>0.57123920098733827</v>
      </c>
      <c r="V73">
        <v>0.53765525915832502</v>
      </c>
      <c r="W73">
        <v>0.5728155339805826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">
      <c r="A74" t="s">
        <v>224</v>
      </c>
      <c r="B74">
        <v>653</v>
      </c>
      <c r="C74" t="s">
        <v>125</v>
      </c>
      <c r="D74">
        <v>0.57585390988064877</v>
      </c>
      <c r="E74">
        <v>0.37699929936305732</v>
      </c>
      <c r="F74">
        <v>11</v>
      </c>
      <c r="G74" t="s">
        <v>179</v>
      </c>
      <c r="H74">
        <v>0.57585390988064877</v>
      </c>
      <c r="I74">
        <v>0.57998625856826935</v>
      </c>
      <c r="J74">
        <v>0.54573979147557594</v>
      </c>
      <c r="K74">
        <v>0.5379944823459315</v>
      </c>
      <c r="L74">
        <v>0.53288347030357275</v>
      </c>
      <c r="M74">
        <v>0.52966245823042279</v>
      </c>
      <c r="N74">
        <v>0.53466666666666673</v>
      </c>
      <c r="O74">
        <v>0.52</v>
      </c>
      <c r="P74">
        <v>0.49799465240641716</v>
      </c>
      <c r="Q74">
        <v>0.46731176614870407</v>
      </c>
      <c r="R74">
        <v>0.44378104490552706</v>
      </c>
      <c r="S74">
        <v>0.37699929936305732</v>
      </c>
      <c r="T74" t="s">
        <v>179</v>
      </c>
      <c r="U74" t="s">
        <v>179</v>
      </c>
      <c r="V74" t="s">
        <v>179</v>
      </c>
      <c r="W74" t="s">
        <v>179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179</v>
      </c>
      <c r="AK74" t="s">
        <v>179</v>
      </c>
      <c r="AL74" t="s">
        <v>179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X74">
        <v>1</v>
      </c>
    </row>
    <row r="75" spans="1:50" x14ac:dyDescent="0.2">
      <c r="A75" t="s">
        <v>224</v>
      </c>
      <c r="B75">
        <v>654</v>
      </c>
      <c r="C75" t="s">
        <v>52</v>
      </c>
      <c r="D75">
        <v>0.59512333198255363</v>
      </c>
      <c r="E75">
        <v>0.40022374772915503</v>
      </c>
      <c r="F75">
        <v>9</v>
      </c>
      <c r="G75" t="s">
        <v>179</v>
      </c>
      <c r="H75">
        <v>0.59512333198255363</v>
      </c>
      <c r="I75">
        <v>0.62682544839753007</v>
      </c>
      <c r="J75">
        <v>0.58367607622703588</v>
      </c>
      <c r="K75">
        <v>0.59295111280436874</v>
      </c>
      <c r="L75">
        <v>0.5855065131662639</v>
      </c>
      <c r="M75">
        <v>0.58768081496164015</v>
      </c>
      <c r="N75">
        <v>0.55940298695350543</v>
      </c>
      <c r="O75">
        <v>0.56228583671494747</v>
      </c>
      <c r="P75">
        <v>0.51283629670095476</v>
      </c>
      <c r="Q75">
        <v>0.40022374772915503</v>
      </c>
      <c r="R75" t="s">
        <v>179</v>
      </c>
      <c r="S75" t="s">
        <v>179</v>
      </c>
      <c r="T75" t="s">
        <v>179</v>
      </c>
      <c r="U75" t="s">
        <v>179</v>
      </c>
      <c r="V75" t="s">
        <v>179</v>
      </c>
      <c r="W75" t="s">
        <v>179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 t="s">
        <v>179</v>
      </c>
      <c r="AI75" t="s">
        <v>179</v>
      </c>
      <c r="AJ75" t="s">
        <v>179</v>
      </c>
      <c r="AK75" t="s">
        <v>179</v>
      </c>
      <c r="AL75" t="s">
        <v>179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</row>
    <row r="76" spans="1:50" x14ac:dyDescent="0.2">
      <c r="A76" t="s">
        <v>225</v>
      </c>
      <c r="B76">
        <v>654</v>
      </c>
      <c r="C76" t="s">
        <v>77</v>
      </c>
      <c r="D76">
        <v>0.62641490787269671</v>
      </c>
      <c r="E76">
        <v>0.6193333333333334</v>
      </c>
      <c r="F76" t="s">
        <v>179</v>
      </c>
      <c r="G76" t="s">
        <v>179</v>
      </c>
      <c r="H76">
        <v>0.62641490787269671</v>
      </c>
      <c r="I76">
        <v>0.62236614237724097</v>
      </c>
      <c r="J76">
        <v>0.60262941496560973</v>
      </c>
      <c r="K76">
        <v>0.63338053581104237</v>
      </c>
      <c r="L76">
        <v>0.56800000000000006</v>
      </c>
      <c r="M76">
        <v>0.625</v>
      </c>
      <c r="N76">
        <v>0.64333333333333342</v>
      </c>
      <c r="O76">
        <v>0.64833333333333343</v>
      </c>
      <c r="P76">
        <v>0.64633333333333332</v>
      </c>
      <c r="Q76">
        <v>0.63600000000000001</v>
      </c>
      <c r="R76">
        <v>0.63300000000000001</v>
      </c>
      <c r="S76">
        <v>0.62498300470634438</v>
      </c>
      <c r="T76">
        <v>0.6349999999999999</v>
      </c>
      <c r="U76">
        <v>0.64966666666666673</v>
      </c>
      <c r="V76">
        <v>0.6193333333333334</v>
      </c>
      <c r="W76">
        <v>0.62352448723315201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">
      <c r="A77" t="s">
        <v>224</v>
      </c>
      <c r="B77">
        <v>654</v>
      </c>
      <c r="C77" t="s">
        <v>130</v>
      </c>
      <c r="D77">
        <v>0.60578660944062657</v>
      </c>
      <c r="E77">
        <v>0.30842456183058786</v>
      </c>
      <c r="F77">
        <v>9</v>
      </c>
      <c r="G77" t="s">
        <v>179</v>
      </c>
      <c r="H77">
        <v>0.60578660944062657</v>
      </c>
      <c r="I77">
        <v>0.62100616557107469</v>
      </c>
      <c r="J77">
        <v>0.57639981833595733</v>
      </c>
      <c r="K77">
        <v>0.57651917404129793</v>
      </c>
      <c r="L77">
        <v>0.56481664450657321</v>
      </c>
      <c r="M77">
        <v>0.56770953650057943</v>
      </c>
      <c r="N77">
        <v>0.59414438700609518</v>
      </c>
      <c r="O77">
        <v>0.53344073402328784</v>
      </c>
      <c r="P77">
        <v>0.44933368408326979</v>
      </c>
      <c r="Q77">
        <v>0.30842456183058786</v>
      </c>
      <c r="R77" t="s">
        <v>179</v>
      </c>
      <c r="S77" t="s">
        <v>179</v>
      </c>
      <c r="T77" t="s">
        <v>179</v>
      </c>
      <c r="U77" t="s">
        <v>179</v>
      </c>
      <c r="V77" t="s">
        <v>179</v>
      </c>
      <c r="W77" t="s">
        <v>179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s">
        <v>179</v>
      </c>
      <c r="AI77" t="s">
        <v>179</v>
      </c>
      <c r="AJ77" t="s">
        <v>179</v>
      </c>
      <c r="AK77" t="s">
        <v>179</v>
      </c>
      <c r="AL77" t="s">
        <v>179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</row>
    <row r="78" spans="1:50" x14ac:dyDescent="0.2">
      <c r="A78" t="s">
        <v>224</v>
      </c>
      <c r="B78">
        <v>655</v>
      </c>
      <c r="C78" t="s">
        <v>22</v>
      </c>
      <c r="D78">
        <v>0.56403130018529957</v>
      </c>
      <c r="E78">
        <v>0.38270159068272785</v>
      </c>
      <c r="F78">
        <v>12</v>
      </c>
      <c r="G78" t="s">
        <v>179</v>
      </c>
      <c r="H78">
        <v>0.56403130018529957</v>
      </c>
      <c r="I78">
        <v>0.55348006081668111</v>
      </c>
      <c r="J78">
        <v>0.53980755667848535</v>
      </c>
      <c r="K78">
        <v>0.54481230087269705</v>
      </c>
      <c r="L78">
        <v>0.5362996598587817</v>
      </c>
      <c r="M78">
        <v>0.53578947590531356</v>
      </c>
      <c r="N78">
        <v>0.53991586690243909</v>
      </c>
      <c r="O78">
        <v>0.53879330300014217</v>
      </c>
      <c r="P78">
        <v>0.5264551585112528</v>
      </c>
      <c r="Q78">
        <v>0.51108676983896395</v>
      </c>
      <c r="R78">
        <v>0.45890248569365422</v>
      </c>
      <c r="S78">
        <v>0.43044264421215633</v>
      </c>
      <c r="T78">
        <v>0.38270159068272785</v>
      </c>
      <c r="U78" t="s">
        <v>179</v>
      </c>
      <c r="V78" t="s">
        <v>179</v>
      </c>
      <c r="W78" t="s">
        <v>179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t="s">
        <v>179</v>
      </c>
      <c r="AL78" t="s">
        <v>179</v>
      </c>
      <c r="AM78">
        <v>0</v>
      </c>
      <c r="AN78">
        <v>0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</row>
    <row r="79" spans="1:50" x14ac:dyDescent="0.2">
      <c r="A79" t="s">
        <v>225</v>
      </c>
      <c r="B79">
        <v>655</v>
      </c>
      <c r="C79" t="s">
        <v>95</v>
      </c>
      <c r="D79">
        <v>0.53518518018018024</v>
      </c>
      <c r="E79">
        <v>0.56901183474914685</v>
      </c>
      <c r="F79" t="s">
        <v>179</v>
      </c>
      <c r="G79" t="s">
        <v>179</v>
      </c>
      <c r="H79">
        <v>0.53518518018018024</v>
      </c>
      <c r="I79">
        <v>0.55134661361229453</v>
      </c>
      <c r="J79">
        <v>0.55414581538819696</v>
      </c>
      <c r="K79">
        <v>0.55746649270549165</v>
      </c>
      <c r="L79">
        <v>0.55017176420000091</v>
      </c>
      <c r="M79">
        <v>0.55802163136547989</v>
      </c>
      <c r="N79">
        <v>0.61833333333333329</v>
      </c>
      <c r="O79">
        <v>0.59424130432173727</v>
      </c>
      <c r="P79">
        <v>0.58347712581090561</v>
      </c>
      <c r="Q79">
        <v>0.57678431798558538</v>
      </c>
      <c r="R79">
        <v>0.57622210970721988</v>
      </c>
      <c r="S79">
        <v>0.55027381607765968</v>
      </c>
      <c r="T79">
        <v>0.55799999999999994</v>
      </c>
      <c r="U79">
        <v>0.57333333333333336</v>
      </c>
      <c r="V79">
        <v>0.56901183474914685</v>
      </c>
      <c r="W79" t="s">
        <v>179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">
      <c r="A80" t="s">
        <v>224</v>
      </c>
      <c r="B80">
        <v>655</v>
      </c>
      <c r="C80" t="s">
        <v>137</v>
      </c>
      <c r="D80">
        <v>0.52719335434038161</v>
      </c>
      <c r="E80">
        <v>0.38229146267448916</v>
      </c>
      <c r="F80" t="s">
        <v>179</v>
      </c>
      <c r="G80">
        <v>12</v>
      </c>
      <c r="H80">
        <v>0.52719335434038161</v>
      </c>
      <c r="I80">
        <v>0.51883510843273584</v>
      </c>
      <c r="J80">
        <v>0.49253353075170841</v>
      </c>
      <c r="K80">
        <v>0.48513198384308681</v>
      </c>
      <c r="L80">
        <v>0.47938846803263774</v>
      </c>
      <c r="M80">
        <v>0.48623532107801487</v>
      </c>
      <c r="N80">
        <v>0.48678231377091463</v>
      </c>
      <c r="O80">
        <v>0.43021040730600518</v>
      </c>
      <c r="P80">
        <v>0.4718371104578985</v>
      </c>
      <c r="Q80">
        <v>0.46370387694262782</v>
      </c>
      <c r="R80">
        <v>0.4089224185861795</v>
      </c>
      <c r="S80">
        <v>0.38229146267448916</v>
      </c>
      <c r="T80" t="s">
        <v>179</v>
      </c>
      <c r="U80" t="s">
        <v>179</v>
      </c>
      <c r="V80" t="s">
        <v>179</v>
      </c>
      <c r="W80" t="s">
        <v>179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</v>
      </c>
      <c r="AL80">
        <v>1</v>
      </c>
      <c r="AM80" t="s">
        <v>179</v>
      </c>
      <c r="AN80" t="s">
        <v>179</v>
      </c>
      <c r="AO80" t="s">
        <v>179</v>
      </c>
      <c r="AP80" t="s">
        <v>179</v>
      </c>
      <c r="AQ80" t="s">
        <v>179</v>
      </c>
      <c r="AR80" t="s">
        <v>179</v>
      </c>
      <c r="AS80" t="s">
        <v>179</v>
      </c>
      <c r="AT80" t="s">
        <v>179</v>
      </c>
      <c r="AU80" t="s">
        <v>179</v>
      </c>
      <c r="AV80" t="s">
        <v>179</v>
      </c>
      <c r="AW80" t="s">
        <v>179</v>
      </c>
      <c r="AX80" t="s">
        <v>179</v>
      </c>
    </row>
    <row r="81" spans="1:50" x14ac:dyDescent="0.2">
      <c r="A81" t="s">
        <v>224</v>
      </c>
      <c r="B81">
        <v>656</v>
      </c>
      <c r="C81" t="s">
        <v>24</v>
      </c>
      <c r="D81">
        <v>0.57004903685727293</v>
      </c>
      <c r="E81">
        <v>0.27466243955178815</v>
      </c>
      <c r="F81">
        <v>9</v>
      </c>
      <c r="G81" t="s">
        <v>179</v>
      </c>
      <c r="H81">
        <v>0.57004903685727293</v>
      </c>
      <c r="I81">
        <v>0.59955826962283387</v>
      </c>
      <c r="J81">
        <v>0.57326872198667478</v>
      </c>
      <c r="K81">
        <v>0.55237550677743275</v>
      </c>
      <c r="L81">
        <v>0.55557803351032264</v>
      </c>
      <c r="M81">
        <v>0.54749486723565677</v>
      </c>
      <c r="N81">
        <v>0.54296814258763093</v>
      </c>
      <c r="O81">
        <v>0.51816073183648714</v>
      </c>
      <c r="P81">
        <v>0.42915084490630029</v>
      </c>
      <c r="Q81">
        <v>0.27466243955178815</v>
      </c>
      <c r="R81" t="s">
        <v>179</v>
      </c>
      <c r="S81" t="s">
        <v>179</v>
      </c>
      <c r="T81" t="s">
        <v>179</v>
      </c>
      <c r="U81" t="s">
        <v>179</v>
      </c>
      <c r="V81" t="s">
        <v>179</v>
      </c>
      <c r="W81" t="s">
        <v>179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s">
        <v>179</v>
      </c>
      <c r="AI81" t="s">
        <v>179</v>
      </c>
      <c r="AJ81" t="s">
        <v>179</v>
      </c>
      <c r="AK81" t="s">
        <v>179</v>
      </c>
      <c r="AL81" t="s">
        <v>179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1</v>
      </c>
      <c r="AV81">
        <v>1</v>
      </c>
      <c r="AW81">
        <v>1</v>
      </c>
      <c r="AX81">
        <v>1</v>
      </c>
    </row>
    <row r="82" spans="1:50" x14ac:dyDescent="0.2">
      <c r="A82" t="s">
        <v>225</v>
      </c>
      <c r="B82">
        <v>656</v>
      </c>
      <c r="C82" t="s">
        <v>70</v>
      </c>
      <c r="D82">
        <v>0.61295574331716285</v>
      </c>
      <c r="E82">
        <v>0.58001009591115593</v>
      </c>
      <c r="F82" t="s">
        <v>179</v>
      </c>
      <c r="G82" t="s">
        <v>179</v>
      </c>
      <c r="H82">
        <v>0.61295574331716285</v>
      </c>
      <c r="I82">
        <v>0.62292445178247213</v>
      </c>
      <c r="J82">
        <v>0.59758152269984632</v>
      </c>
      <c r="K82">
        <v>0.59447843415752166</v>
      </c>
      <c r="L82">
        <v>0.59309566594109264</v>
      </c>
      <c r="M82">
        <v>0.59621294132657499</v>
      </c>
      <c r="N82">
        <v>0.60484353797291335</v>
      </c>
      <c r="O82">
        <v>0.61455349474437659</v>
      </c>
      <c r="P82">
        <v>0.40640887382529661</v>
      </c>
      <c r="Q82">
        <v>0.59963795404301035</v>
      </c>
      <c r="R82">
        <v>0.58480900494207977</v>
      </c>
      <c r="S82">
        <v>0.59166929397416657</v>
      </c>
      <c r="T82">
        <v>0.59122719641755783</v>
      </c>
      <c r="U82">
        <v>0.60841601631436526</v>
      </c>
      <c r="V82">
        <v>0.58001009591115593</v>
      </c>
      <c r="W82">
        <v>0.52151610145340555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">
      <c r="A83" t="s">
        <v>224</v>
      </c>
      <c r="B83">
        <v>656</v>
      </c>
      <c r="C83" t="s">
        <v>168</v>
      </c>
      <c r="D83">
        <v>0.57639520279769496</v>
      </c>
      <c r="E83">
        <v>0.31572189327676642</v>
      </c>
      <c r="F83">
        <v>9</v>
      </c>
      <c r="G83" t="s">
        <v>179</v>
      </c>
      <c r="H83">
        <v>0.57639520279769496</v>
      </c>
      <c r="I83">
        <v>0.57584086264716694</v>
      </c>
      <c r="J83">
        <v>0.54952872376635564</v>
      </c>
      <c r="K83">
        <v>0.53690105787181086</v>
      </c>
      <c r="L83">
        <v>0.5387866268438376</v>
      </c>
      <c r="M83">
        <v>0.53933437612369661</v>
      </c>
      <c r="N83">
        <v>0.54770303169565926</v>
      </c>
      <c r="O83">
        <v>0.48066666666666663</v>
      </c>
      <c r="P83">
        <v>0.44766666666666666</v>
      </c>
      <c r="Q83">
        <v>0.31572189327676642</v>
      </c>
      <c r="R83" t="s">
        <v>179</v>
      </c>
      <c r="S83" t="s">
        <v>179</v>
      </c>
      <c r="T83" t="s">
        <v>179</v>
      </c>
      <c r="U83" t="s">
        <v>179</v>
      </c>
      <c r="V83" t="s">
        <v>179</v>
      </c>
      <c r="W83">
        <v>0.52093618577436462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s">
        <v>179</v>
      </c>
      <c r="AI83" t="s">
        <v>179</v>
      </c>
      <c r="AJ83" t="s">
        <v>179</v>
      </c>
      <c r="AK83" t="s">
        <v>179</v>
      </c>
      <c r="AL83" t="s">
        <v>179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">
      <c r="A84" t="s">
        <v>224</v>
      </c>
      <c r="B84">
        <v>657</v>
      </c>
      <c r="C84" t="s">
        <v>12</v>
      </c>
      <c r="D84">
        <v>0.53121076686066426</v>
      </c>
      <c r="E84">
        <v>0.32379794518913191</v>
      </c>
      <c r="F84">
        <v>9</v>
      </c>
      <c r="G84" t="s">
        <v>179</v>
      </c>
      <c r="H84">
        <v>0.53121076686066426</v>
      </c>
      <c r="I84">
        <v>0.55168556693097293</v>
      </c>
      <c r="J84">
        <v>0.51219158200290271</v>
      </c>
      <c r="K84">
        <v>0.51848543992853946</v>
      </c>
      <c r="L84">
        <v>0.50087557834504881</v>
      </c>
      <c r="M84">
        <v>0.50109327285415217</v>
      </c>
      <c r="N84">
        <v>0.52206432534562308</v>
      </c>
      <c r="O84">
        <v>0.50172012552301248</v>
      </c>
      <c r="P84">
        <v>0.47347762347204719</v>
      </c>
      <c r="Q84">
        <v>0.32379794518913191</v>
      </c>
      <c r="R84" t="s">
        <v>179</v>
      </c>
      <c r="S84" t="s">
        <v>179</v>
      </c>
      <c r="T84" t="s">
        <v>179</v>
      </c>
      <c r="U84" t="s">
        <v>179</v>
      </c>
      <c r="V84" t="s">
        <v>179</v>
      </c>
      <c r="W84" t="s">
        <v>179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s">
        <v>179</v>
      </c>
      <c r="AI84" t="s">
        <v>179</v>
      </c>
      <c r="AJ84" t="s">
        <v>179</v>
      </c>
      <c r="AK84" t="s">
        <v>179</v>
      </c>
      <c r="AL84" t="s">
        <v>179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</row>
    <row r="85" spans="1:50" x14ac:dyDescent="0.2">
      <c r="A85" t="s">
        <v>225</v>
      </c>
      <c r="B85">
        <v>657</v>
      </c>
      <c r="C85" t="s">
        <v>99</v>
      </c>
      <c r="D85">
        <v>0.55090194464079612</v>
      </c>
      <c r="E85">
        <v>0.57432712215320914</v>
      </c>
      <c r="F85" t="s">
        <v>179</v>
      </c>
      <c r="G85" t="s">
        <v>179</v>
      </c>
      <c r="H85">
        <v>0.55090194464079612</v>
      </c>
      <c r="I85">
        <v>0.56286571765747151</v>
      </c>
      <c r="J85">
        <v>0.53468245513554802</v>
      </c>
      <c r="K85">
        <v>0.56202450457837916</v>
      </c>
      <c r="L85">
        <v>0.5582999862011867</v>
      </c>
      <c r="M85">
        <v>0.56257540128937678</v>
      </c>
      <c r="N85">
        <v>0.57724881194062228</v>
      </c>
      <c r="O85">
        <v>0.58689806202345662</v>
      </c>
      <c r="P85">
        <v>0.56774260624971451</v>
      </c>
      <c r="Q85">
        <v>0.56675594049592104</v>
      </c>
      <c r="R85">
        <v>0.52103877598760284</v>
      </c>
      <c r="S85">
        <v>0.55621797827239006</v>
      </c>
      <c r="T85">
        <v>0.58249221102958315</v>
      </c>
      <c r="U85">
        <v>0.57636477724325441</v>
      </c>
      <c r="V85">
        <v>0.57432712215320914</v>
      </c>
      <c r="W85" t="s">
        <v>179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 x14ac:dyDescent="0.2">
      <c r="A86" t="s">
        <v>224</v>
      </c>
      <c r="B86">
        <v>657</v>
      </c>
      <c r="C86" t="s">
        <v>156</v>
      </c>
      <c r="D86">
        <v>0.56079967312860501</v>
      </c>
      <c r="E86">
        <v>0.34833333333333333</v>
      </c>
      <c r="F86">
        <v>8</v>
      </c>
      <c r="G86" t="s">
        <v>179</v>
      </c>
      <c r="H86">
        <v>0.56079967312860501</v>
      </c>
      <c r="I86">
        <v>0.55580985552853668</v>
      </c>
      <c r="J86">
        <v>0.52697545364451515</v>
      </c>
      <c r="K86">
        <v>0.52507221684231165</v>
      </c>
      <c r="L86">
        <v>0.51287511852432177</v>
      </c>
      <c r="M86">
        <v>0.51206306747690422</v>
      </c>
      <c r="N86">
        <v>0.50965072844508608</v>
      </c>
      <c r="O86">
        <v>0.50838655553824585</v>
      </c>
      <c r="P86">
        <v>0.34833333333333333</v>
      </c>
      <c r="Q86" t="s">
        <v>179</v>
      </c>
      <c r="R86" t="s">
        <v>179</v>
      </c>
      <c r="S86" t="s">
        <v>179</v>
      </c>
      <c r="T86" t="s">
        <v>179</v>
      </c>
      <c r="U86" t="s">
        <v>179</v>
      </c>
      <c r="V86" t="s">
        <v>179</v>
      </c>
      <c r="W86" t="s">
        <v>179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179</v>
      </c>
      <c r="AH86" t="s">
        <v>179</v>
      </c>
      <c r="AI86" t="s">
        <v>179</v>
      </c>
      <c r="AJ86" t="s">
        <v>179</v>
      </c>
      <c r="AK86" t="s">
        <v>179</v>
      </c>
      <c r="AL86" t="s">
        <v>179</v>
      </c>
      <c r="AM86">
        <v>0</v>
      </c>
      <c r="AN86">
        <v>0</v>
      </c>
      <c r="AO86">
        <v>0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</row>
    <row r="87" spans="1:50" x14ac:dyDescent="0.2">
      <c r="A87" t="s">
        <v>224</v>
      </c>
      <c r="B87">
        <v>658</v>
      </c>
      <c r="C87" t="s">
        <v>13</v>
      </c>
      <c r="D87">
        <v>0.50598802633770501</v>
      </c>
      <c r="E87">
        <v>0.35333333333333333</v>
      </c>
      <c r="F87">
        <v>8</v>
      </c>
      <c r="G87" t="s">
        <v>179</v>
      </c>
      <c r="H87">
        <v>0.50598802633770501</v>
      </c>
      <c r="I87">
        <v>0.50973784196130179</v>
      </c>
      <c r="J87">
        <v>0.50261780104712039</v>
      </c>
      <c r="K87">
        <v>0.47984371647968876</v>
      </c>
      <c r="L87">
        <v>0.47850214066547325</v>
      </c>
      <c r="M87">
        <v>0.48327251718148562</v>
      </c>
      <c r="N87">
        <v>0.50666666666666671</v>
      </c>
      <c r="O87">
        <v>0.48670501375343839</v>
      </c>
      <c r="P87">
        <v>0.35333333333333333</v>
      </c>
      <c r="Q87" t="s">
        <v>179</v>
      </c>
      <c r="R87" t="s">
        <v>179</v>
      </c>
      <c r="S87" t="s">
        <v>179</v>
      </c>
      <c r="T87" t="s">
        <v>179</v>
      </c>
      <c r="U87" t="s">
        <v>179</v>
      </c>
      <c r="V87" t="s">
        <v>179</v>
      </c>
      <c r="W87">
        <v>0.49804722172909638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179</v>
      </c>
      <c r="AH87" t="s">
        <v>179</v>
      </c>
      <c r="AI87" t="s">
        <v>179</v>
      </c>
      <c r="AJ87" t="s">
        <v>179</v>
      </c>
      <c r="AK87" t="s">
        <v>179</v>
      </c>
      <c r="AL87" t="s">
        <v>179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">
      <c r="A88" t="s">
        <v>225</v>
      </c>
      <c r="B88">
        <v>658</v>
      </c>
      <c r="C88" t="s">
        <v>85</v>
      </c>
      <c r="D88">
        <v>0.51074486919372852</v>
      </c>
      <c r="E88">
        <v>0.51787013238931179</v>
      </c>
      <c r="F88" t="s">
        <v>179</v>
      </c>
      <c r="G88" t="s">
        <v>179</v>
      </c>
      <c r="H88">
        <v>0.51074486919372852</v>
      </c>
      <c r="I88">
        <v>0.52072183431696151</v>
      </c>
      <c r="J88">
        <v>0.50541129695546838</v>
      </c>
      <c r="K88">
        <v>0.51082474226804131</v>
      </c>
      <c r="L88">
        <v>0.48930286918683713</v>
      </c>
      <c r="M88">
        <v>0.52630886977572344</v>
      </c>
      <c r="N88">
        <v>0.54010752939078521</v>
      </c>
      <c r="O88">
        <v>0.55323269819536103</v>
      </c>
      <c r="P88">
        <v>0.53184219749649286</v>
      </c>
      <c r="Q88">
        <v>0.53156658157062975</v>
      </c>
      <c r="R88">
        <v>0.5238019529372886</v>
      </c>
      <c r="S88">
        <v>0.51535865559601257</v>
      </c>
      <c r="T88">
        <v>0.53154338982770466</v>
      </c>
      <c r="U88">
        <v>0.55038583749432601</v>
      </c>
      <c r="V88">
        <v>0.51787013238931179</v>
      </c>
      <c r="W88">
        <v>0.58159163987138263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">
      <c r="A89" t="s">
        <v>224</v>
      </c>
      <c r="B89">
        <v>658</v>
      </c>
      <c r="C89" t="s">
        <v>157</v>
      </c>
      <c r="D89">
        <v>0.51254105703194974</v>
      </c>
      <c r="E89">
        <v>0.35750808424711994</v>
      </c>
      <c r="F89">
        <v>10</v>
      </c>
      <c r="G89" t="s">
        <v>179</v>
      </c>
      <c r="H89">
        <v>0.51254105703194974</v>
      </c>
      <c r="I89">
        <v>0.51860537836147591</v>
      </c>
      <c r="J89">
        <v>0.49007681060919023</v>
      </c>
      <c r="K89">
        <v>0.48099938492347305</v>
      </c>
      <c r="L89">
        <v>0.46172712134260663</v>
      </c>
      <c r="M89">
        <v>0.48893602445719986</v>
      </c>
      <c r="N89">
        <v>0.49316939488910322</v>
      </c>
      <c r="O89">
        <v>0.46185006665880818</v>
      </c>
      <c r="P89">
        <v>0.45152764334948642</v>
      </c>
      <c r="Q89">
        <v>0.427209094488189</v>
      </c>
      <c r="R89">
        <v>0.35750808424711994</v>
      </c>
      <c r="S89" t="s">
        <v>179</v>
      </c>
      <c r="T89" t="s">
        <v>179</v>
      </c>
      <c r="U89" t="s">
        <v>179</v>
      </c>
      <c r="V89" t="s">
        <v>179</v>
      </c>
      <c r="W89" t="s">
        <v>179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179</v>
      </c>
      <c r="AJ89" t="s">
        <v>179</v>
      </c>
      <c r="AK89" t="s">
        <v>179</v>
      </c>
      <c r="AL89" t="s">
        <v>179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</row>
    <row r="90" spans="1:50" x14ac:dyDescent="0.2">
      <c r="A90" t="s">
        <v>224</v>
      </c>
      <c r="B90">
        <v>659</v>
      </c>
      <c r="C90" t="s">
        <v>36</v>
      </c>
      <c r="D90">
        <v>0.46200000000000002</v>
      </c>
      <c r="E90">
        <v>0.28899999999999998</v>
      </c>
      <c r="F90">
        <v>14</v>
      </c>
      <c r="G90" t="s">
        <v>179</v>
      </c>
      <c r="H90">
        <v>0.46200000000000002</v>
      </c>
      <c r="I90">
        <v>0.46</v>
      </c>
      <c r="J90">
        <v>0.44313610538710624</v>
      </c>
      <c r="K90">
        <v>0.43462324221279131</v>
      </c>
      <c r="L90">
        <v>0.42599999999999999</v>
      </c>
      <c r="M90">
        <v>0.42233333333333328</v>
      </c>
      <c r="N90">
        <v>0.434</v>
      </c>
      <c r="O90">
        <v>0.41433333333333328</v>
      </c>
      <c r="P90">
        <v>0.40933333333333333</v>
      </c>
      <c r="Q90">
        <v>0.38034363678146732</v>
      </c>
      <c r="R90">
        <v>0.33866666666666667</v>
      </c>
      <c r="S90">
        <v>0.33600000000000002</v>
      </c>
      <c r="T90">
        <v>0.33033333333333337</v>
      </c>
      <c r="U90">
        <v>0.32500000000000001</v>
      </c>
      <c r="V90">
        <v>0.28899999999999998</v>
      </c>
      <c r="W90" t="s">
        <v>179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</row>
    <row r="91" spans="1:50" x14ac:dyDescent="0.2">
      <c r="A91" t="s">
        <v>225</v>
      </c>
      <c r="B91">
        <v>659</v>
      </c>
      <c r="C91" t="s">
        <v>90</v>
      </c>
      <c r="D91">
        <v>0.51879300899148362</v>
      </c>
      <c r="E91">
        <v>0.51548137397193994</v>
      </c>
      <c r="F91" t="s">
        <v>179</v>
      </c>
      <c r="G91" t="s">
        <v>179</v>
      </c>
      <c r="H91">
        <v>0.51879300899148362</v>
      </c>
      <c r="I91">
        <v>0.54194723778533638</v>
      </c>
      <c r="J91">
        <v>0.51342521393266727</v>
      </c>
      <c r="K91">
        <v>0.51889657182142401</v>
      </c>
      <c r="L91">
        <v>0.51745487926846689</v>
      </c>
      <c r="M91">
        <v>0.54374699253046777</v>
      </c>
      <c r="N91">
        <v>0.56258234519104089</v>
      </c>
      <c r="O91">
        <v>0.56624674442331346</v>
      </c>
      <c r="P91">
        <v>0.54885205851890217</v>
      </c>
      <c r="Q91">
        <v>0.52224038394911609</v>
      </c>
      <c r="R91">
        <v>0.55125264039986854</v>
      </c>
      <c r="S91">
        <v>0.53717914792273092</v>
      </c>
      <c r="T91">
        <v>0.57678827296793167</v>
      </c>
      <c r="U91">
        <v>0.54064254809905188</v>
      </c>
      <c r="V91">
        <v>0.51548137397193994</v>
      </c>
      <c r="W91">
        <v>0.53426947509194245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 x14ac:dyDescent="0.2">
      <c r="A92" t="s">
        <v>224</v>
      </c>
      <c r="B92">
        <v>659</v>
      </c>
      <c r="C92" t="s">
        <v>121</v>
      </c>
      <c r="D92">
        <v>0.51403249892544445</v>
      </c>
      <c r="E92">
        <v>0.31143065788650665</v>
      </c>
      <c r="F92">
        <v>11</v>
      </c>
      <c r="G92" t="s">
        <v>179</v>
      </c>
      <c r="H92">
        <v>0.51403249892544445</v>
      </c>
      <c r="I92">
        <v>0.51474492260603755</v>
      </c>
      <c r="J92">
        <v>0.48731851457765796</v>
      </c>
      <c r="K92">
        <v>0.48082364829132251</v>
      </c>
      <c r="L92">
        <v>0.48497366767308125</v>
      </c>
      <c r="M92">
        <v>0.47820398298464689</v>
      </c>
      <c r="N92">
        <v>0.47566666666666668</v>
      </c>
      <c r="O92">
        <v>0.46400000000000002</v>
      </c>
      <c r="P92">
        <v>0.43204024925399331</v>
      </c>
      <c r="Q92">
        <v>0.38418797536860733</v>
      </c>
      <c r="R92">
        <v>0.36491377474984033</v>
      </c>
      <c r="S92">
        <v>0.31143065788650665</v>
      </c>
      <c r="T92" t="s">
        <v>179</v>
      </c>
      <c r="U92" t="s">
        <v>179</v>
      </c>
      <c r="V92" t="s">
        <v>179</v>
      </c>
      <c r="W92" t="s">
        <v>179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179</v>
      </c>
      <c r="AK92" t="s">
        <v>179</v>
      </c>
      <c r="AL92" t="s">
        <v>179</v>
      </c>
      <c r="AM92">
        <v>0</v>
      </c>
      <c r="AN92">
        <v>0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</row>
    <row r="93" spans="1:50" x14ac:dyDescent="0.2">
      <c r="A93" t="s">
        <v>224</v>
      </c>
      <c r="B93">
        <v>660</v>
      </c>
      <c r="C93" t="s">
        <v>2</v>
      </c>
      <c r="D93">
        <v>0.56425737045111535</v>
      </c>
      <c r="E93">
        <v>0.35846288763906486</v>
      </c>
      <c r="F93">
        <v>9</v>
      </c>
      <c r="G93" t="s">
        <v>179</v>
      </c>
      <c r="H93">
        <v>0.56425737045111535</v>
      </c>
      <c r="I93">
        <v>0.56036298225026082</v>
      </c>
      <c r="J93">
        <v>0.52405332526966431</v>
      </c>
      <c r="K93">
        <v>0.52838009097801364</v>
      </c>
      <c r="L93">
        <v>0.51552967997945975</v>
      </c>
      <c r="M93">
        <v>0.51644784417638601</v>
      </c>
      <c r="N93">
        <v>0.52218989938011173</v>
      </c>
      <c r="O93">
        <v>0.50956037978889668</v>
      </c>
      <c r="P93">
        <v>0.41478508054252466</v>
      </c>
      <c r="Q93">
        <v>0.35846288763906486</v>
      </c>
      <c r="R93" t="s">
        <v>179</v>
      </c>
      <c r="S93" t="s">
        <v>179</v>
      </c>
      <c r="T93" t="s">
        <v>179</v>
      </c>
      <c r="U93" t="s">
        <v>179</v>
      </c>
      <c r="V93" t="s">
        <v>179</v>
      </c>
      <c r="W93">
        <v>0.53156207054512128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s">
        <v>179</v>
      </c>
      <c r="AI93" t="s">
        <v>179</v>
      </c>
      <c r="AJ93" t="s">
        <v>179</v>
      </c>
      <c r="AK93" t="s">
        <v>179</v>
      </c>
      <c r="AL93" t="s">
        <v>179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 x14ac:dyDescent="0.2">
      <c r="A94" t="s">
        <v>225</v>
      </c>
      <c r="B94">
        <v>660</v>
      </c>
      <c r="C94" t="s">
        <v>107</v>
      </c>
      <c r="D94">
        <v>0.54105773996367879</v>
      </c>
      <c r="E94">
        <v>0.56914641842852631</v>
      </c>
      <c r="F94" t="s">
        <v>179</v>
      </c>
      <c r="G94" t="s">
        <v>179</v>
      </c>
      <c r="H94">
        <v>0.54105773996367879</v>
      </c>
      <c r="I94">
        <v>0.54778741562198652</v>
      </c>
      <c r="J94">
        <v>0.54667466353046146</v>
      </c>
      <c r="K94">
        <v>0.55526960506110001</v>
      </c>
      <c r="L94">
        <v>0.55873913339559156</v>
      </c>
      <c r="M94">
        <v>0.55735991415162023</v>
      </c>
      <c r="N94">
        <v>0.57255075905353381</v>
      </c>
      <c r="O94">
        <v>0.57802095261489561</v>
      </c>
      <c r="P94">
        <v>0.57447075034448203</v>
      </c>
      <c r="Q94">
        <v>0.57184606584239395</v>
      </c>
      <c r="R94">
        <v>0.56052620419169019</v>
      </c>
      <c r="S94">
        <v>0.57412122145498301</v>
      </c>
      <c r="T94">
        <v>0.58065062985112614</v>
      </c>
      <c r="U94">
        <v>0.59387785464554044</v>
      </c>
      <c r="V94">
        <v>0.56914641842852631</v>
      </c>
      <c r="W94">
        <v>0.54856565656565659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 x14ac:dyDescent="0.2">
      <c r="A95" t="s">
        <v>224</v>
      </c>
      <c r="B95">
        <v>660</v>
      </c>
      <c r="C95" t="s">
        <v>164</v>
      </c>
      <c r="D95">
        <v>0.5622117320723572</v>
      </c>
      <c r="E95">
        <v>0.34129132939916856</v>
      </c>
      <c r="F95">
        <v>9</v>
      </c>
      <c r="G95" t="s">
        <v>179</v>
      </c>
      <c r="H95">
        <v>0.5622117320723572</v>
      </c>
      <c r="I95">
        <v>0.55367203687388145</v>
      </c>
      <c r="J95">
        <v>0.53592350799117672</v>
      </c>
      <c r="K95">
        <v>0.51901160144323999</v>
      </c>
      <c r="L95">
        <v>0.4927366705203538</v>
      </c>
      <c r="M95">
        <v>0.49617827809140769</v>
      </c>
      <c r="N95">
        <v>0.49897906584992346</v>
      </c>
      <c r="O95">
        <v>0.45233181207352358</v>
      </c>
      <c r="P95">
        <v>0.42974218883387394</v>
      </c>
      <c r="Q95">
        <v>0.34129132939916856</v>
      </c>
      <c r="R95" t="s">
        <v>179</v>
      </c>
      <c r="S95" t="s">
        <v>179</v>
      </c>
      <c r="T95" t="s">
        <v>179</v>
      </c>
      <c r="U95" t="s">
        <v>179</v>
      </c>
      <c r="V95" t="s">
        <v>179</v>
      </c>
      <c r="W95" t="s">
        <v>179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179</v>
      </c>
      <c r="AI95" t="s">
        <v>179</v>
      </c>
      <c r="AJ95" t="s">
        <v>179</v>
      </c>
      <c r="AK95" t="s">
        <v>179</v>
      </c>
      <c r="AL95" t="s">
        <v>179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</row>
    <row r="96" spans="1:50" x14ac:dyDescent="0.2">
      <c r="A96" t="s">
        <v>224</v>
      </c>
      <c r="B96">
        <v>661</v>
      </c>
      <c r="C96" t="s">
        <v>53</v>
      </c>
      <c r="D96">
        <v>0.5490077515865821</v>
      </c>
      <c r="E96">
        <v>0.36442155020268197</v>
      </c>
      <c r="F96">
        <v>10</v>
      </c>
      <c r="G96" t="s">
        <v>179</v>
      </c>
      <c r="H96">
        <v>0.5490077515865821</v>
      </c>
      <c r="I96">
        <v>0.55380306603773577</v>
      </c>
      <c r="J96">
        <v>0.52749155566495609</v>
      </c>
      <c r="K96">
        <v>0.51381926656159704</v>
      </c>
      <c r="L96">
        <v>0.51356483993488877</v>
      </c>
      <c r="M96">
        <v>0.50313723402775279</v>
      </c>
      <c r="N96">
        <v>0.50219036738351253</v>
      </c>
      <c r="O96">
        <v>0.49445075472573985</v>
      </c>
      <c r="P96">
        <v>0.44610862801046391</v>
      </c>
      <c r="Q96">
        <v>0.3887691682238214</v>
      </c>
      <c r="R96">
        <v>0.36442155020268197</v>
      </c>
      <c r="S96" t="s">
        <v>179</v>
      </c>
      <c r="T96" t="s">
        <v>179</v>
      </c>
      <c r="U96" t="s">
        <v>179</v>
      </c>
      <c r="V96" t="s">
        <v>179</v>
      </c>
      <c r="W96" t="s">
        <v>179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179</v>
      </c>
      <c r="AJ96" t="s">
        <v>179</v>
      </c>
      <c r="AK96" t="s">
        <v>179</v>
      </c>
      <c r="AL96" t="s">
        <v>179</v>
      </c>
      <c r="AM96">
        <v>0</v>
      </c>
      <c r="AN96">
        <v>0</v>
      </c>
      <c r="AO96">
        <v>0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</row>
    <row r="97" spans="1:50" x14ac:dyDescent="0.2">
      <c r="A97" t="s">
        <v>225</v>
      </c>
      <c r="B97">
        <v>661</v>
      </c>
      <c r="C97" t="s">
        <v>72</v>
      </c>
      <c r="D97">
        <v>0.58120219801416073</v>
      </c>
      <c r="E97">
        <v>0.57513484598582454</v>
      </c>
      <c r="F97" t="s">
        <v>179</v>
      </c>
      <c r="G97" t="s">
        <v>179</v>
      </c>
      <c r="H97">
        <v>0.58120219801416073</v>
      </c>
      <c r="I97">
        <v>0.55394047760308507</v>
      </c>
      <c r="J97">
        <v>0.57028270874424725</v>
      </c>
      <c r="K97">
        <v>0.57350242881072033</v>
      </c>
      <c r="L97">
        <v>0.52990841845026393</v>
      </c>
      <c r="M97">
        <v>0.56944091601116475</v>
      </c>
      <c r="N97">
        <v>0.58285761975676342</v>
      </c>
      <c r="O97">
        <v>0.58485243489583327</v>
      </c>
      <c r="P97">
        <v>0.57338479712874768</v>
      </c>
      <c r="Q97">
        <v>0.57524878174492344</v>
      </c>
      <c r="R97">
        <v>0.56653504721883041</v>
      </c>
      <c r="S97">
        <v>0.5656110700229241</v>
      </c>
      <c r="T97">
        <v>0.57974374618669922</v>
      </c>
      <c r="U97">
        <v>0.60139093782929398</v>
      </c>
      <c r="V97">
        <v>0.57513484598582454</v>
      </c>
      <c r="W97">
        <v>0.48811025914782102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</row>
    <row r="98" spans="1:50" x14ac:dyDescent="0.2">
      <c r="A98" t="s">
        <v>224</v>
      </c>
      <c r="B98">
        <v>661</v>
      </c>
      <c r="C98" t="s">
        <v>124</v>
      </c>
      <c r="D98">
        <v>0.58182457190114512</v>
      </c>
      <c r="E98">
        <v>0.40266666666666673</v>
      </c>
      <c r="F98">
        <v>7</v>
      </c>
      <c r="G98" t="s">
        <v>179</v>
      </c>
      <c r="H98">
        <v>0.58182457190114512</v>
      </c>
      <c r="I98">
        <v>0.55066947046406578</v>
      </c>
      <c r="J98">
        <v>0.54403368240690642</v>
      </c>
      <c r="K98">
        <v>0.5229227002675656</v>
      </c>
      <c r="L98">
        <v>0.53209788728174634</v>
      </c>
      <c r="M98">
        <v>0.51745016426307067</v>
      </c>
      <c r="N98">
        <v>0.48533333333333334</v>
      </c>
      <c r="O98">
        <v>0.40266666666666673</v>
      </c>
      <c r="P98" t="s">
        <v>179</v>
      </c>
      <c r="Q98" t="s">
        <v>179</v>
      </c>
      <c r="R98" t="s">
        <v>179</v>
      </c>
      <c r="S98" t="s">
        <v>179</v>
      </c>
      <c r="T98" t="s">
        <v>179</v>
      </c>
      <c r="U98" t="s">
        <v>179</v>
      </c>
      <c r="V98" t="s">
        <v>179</v>
      </c>
      <c r="W98">
        <v>0.52668655200863101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179</v>
      </c>
      <c r="AG98" t="s">
        <v>179</v>
      </c>
      <c r="AH98" t="s">
        <v>179</v>
      </c>
      <c r="AI98" t="s">
        <v>179</v>
      </c>
      <c r="AJ98" t="s">
        <v>179</v>
      </c>
      <c r="AK98" t="s">
        <v>179</v>
      </c>
      <c r="AL98" t="s">
        <v>179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 spans="1:50" x14ac:dyDescent="0.2">
      <c r="A99" t="s">
        <v>224</v>
      </c>
      <c r="B99">
        <v>662</v>
      </c>
      <c r="C99" t="s">
        <v>21</v>
      </c>
      <c r="D99">
        <v>0.51265443048306991</v>
      </c>
      <c r="E99">
        <v>0.33875266524520253</v>
      </c>
      <c r="F99">
        <v>11</v>
      </c>
      <c r="G99" t="s">
        <v>179</v>
      </c>
      <c r="H99">
        <v>0.51265443048306991</v>
      </c>
      <c r="I99">
        <v>0.53878641539695271</v>
      </c>
      <c r="J99">
        <v>0.50164020634920636</v>
      </c>
      <c r="K99">
        <v>0.50455877564311291</v>
      </c>
      <c r="L99">
        <v>0.49666718626987877</v>
      </c>
      <c r="M99">
        <v>0.49463600985221673</v>
      </c>
      <c r="N99">
        <v>0.49753617373906384</v>
      </c>
      <c r="O99">
        <v>0.49339988352745423</v>
      </c>
      <c r="P99">
        <v>0.45885957144547523</v>
      </c>
      <c r="Q99">
        <v>0.41450162012554098</v>
      </c>
      <c r="R99">
        <v>0.38696785505600928</v>
      </c>
      <c r="S99">
        <v>0.33875266524520253</v>
      </c>
      <c r="T99" t="s">
        <v>179</v>
      </c>
      <c r="U99" t="s">
        <v>179</v>
      </c>
      <c r="V99" t="s">
        <v>179</v>
      </c>
      <c r="W99">
        <v>0.4813148788927335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179</v>
      </c>
      <c r="AK99" t="s">
        <v>179</v>
      </c>
      <c r="AL99" t="s">
        <v>179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 x14ac:dyDescent="0.2">
      <c r="A100" t="s">
        <v>225</v>
      </c>
      <c r="B100">
        <v>662</v>
      </c>
      <c r="C100" t="s">
        <v>102</v>
      </c>
      <c r="D100">
        <v>0.53737935547194504</v>
      </c>
      <c r="E100">
        <v>0.54466762314681982</v>
      </c>
      <c r="F100" t="s">
        <v>179</v>
      </c>
      <c r="G100" t="s">
        <v>179</v>
      </c>
      <c r="H100">
        <v>0.53737935547194504</v>
      </c>
      <c r="I100">
        <v>0.53436752524513398</v>
      </c>
      <c r="J100">
        <v>0.56460151666905134</v>
      </c>
      <c r="K100">
        <v>0.55286344290531708</v>
      </c>
      <c r="L100">
        <v>0.54538204674413449</v>
      </c>
      <c r="M100">
        <v>0.54396728527607363</v>
      </c>
      <c r="N100">
        <v>0.57142857351387411</v>
      </c>
      <c r="O100">
        <v>0.57247086674761605</v>
      </c>
      <c r="P100">
        <v>0.54975451363570071</v>
      </c>
      <c r="Q100">
        <v>0.55753011808291686</v>
      </c>
      <c r="R100">
        <v>0.52807086665374714</v>
      </c>
      <c r="S100">
        <v>0.55420970291980109</v>
      </c>
      <c r="T100">
        <v>0.55518105468085199</v>
      </c>
      <c r="U100">
        <v>0.56817189274172397</v>
      </c>
      <c r="V100">
        <v>0.54466762314681982</v>
      </c>
      <c r="W100">
        <v>0.55702102340341131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 x14ac:dyDescent="0.2">
      <c r="A101" t="s">
        <v>224</v>
      </c>
      <c r="B101">
        <v>662</v>
      </c>
      <c r="C101" t="s">
        <v>138</v>
      </c>
      <c r="D101">
        <v>0.51571977348681775</v>
      </c>
      <c r="E101">
        <v>0.33831672203765234</v>
      </c>
      <c r="F101">
        <v>9</v>
      </c>
      <c r="G101" t="s">
        <v>179</v>
      </c>
      <c r="H101">
        <v>0.51571977348681775</v>
      </c>
      <c r="I101">
        <v>0.52133333333333332</v>
      </c>
      <c r="J101">
        <v>0.51100000000000001</v>
      </c>
      <c r="K101">
        <v>0.51375207269658862</v>
      </c>
      <c r="L101">
        <v>0.47766666666666663</v>
      </c>
      <c r="M101">
        <v>0.47754284825870646</v>
      </c>
      <c r="N101">
        <v>0.47799999999999998</v>
      </c>
      <c r="O101">
        <v>0.47299376529679243</v>
      </c>
      <c r="P101">
        <v>0.43772880724566704</v>
      </c>
      <c r="Q101">
        <v>0.33831672203765234</v>
      </c>
      <c r="R101" t="s">
        <v>179</v>
      </c>
      <c r="S101" t="s">
        <v>179</v>
      </c>
      <c r="T101" t="s">
        <v>179</v>
      </c>
      <c r="U101" t="s">
        <v>179</v>
      </c>
      <c r="V101" t="s">
        <v>179</v>
      </c>
      <c r="W101" t="s">
        <v>179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s">
        <v>179</v>
      </c>
      <c r="AI101" t="s">
        <v>179</v>
      </c>
      <c r="AJ101" t="s">
        <v>179</v>
      </c>
      <c r="AK101" t="s">
        <v>179</v>
      </c>
      <c r="AL101" t="s">
        <v>179</v>
      </c>
      <c r="AM101">
        <v>0</v>
      </c>
      <c r="AN101">
        <v>0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</row>
    <row r="102" spans="1:50" x14ac:dyDescent="0.2">
      <c r="A102" t="s">
        <v>224</v>
      </c>
      <c r="B102">
        <v>663</v>
      </c>
      <c r="C102" t="s">
        <v>37</v>
      </c>
      <c r="D102">
        <v>0.56475753125502659</v>
      </c>
      <c r="E102">
        <v>0.22264720888318096</v>
      </c>
      <c r="F102">
        <v>9</v>
      </c>
      <c r="G102" t="s">
        <v>179</v>
      </c>
      <c r="H102">
        <v>0.56475753125502659</v>
      </c>
      <c r="I102">
        <v>0.59259620832364146</v>
      </c>
      <c r="J102">
        <v>0.56945651607297998</v>
      </c>
      <c r="K102">
        <v>0.57237915955877405</v>
      </c>
      <c r="L102">
        <v>0.49997540209532243</v>
      </c>
      <c r="M102">
        <v>0.55897133861081783</v>
      </c>
      <c r="N102">
        <v>0.55373683629631543</v>
      </c>
      <c r="O102">
        <v>0.51736577912049508</v>
      </c>
      <c r="P102">
        <v>0.42057182008368194</v>
      </c>
      <c r="Q102">
        <v>0.22264720888318096</v>
      </c>
      <c r="R102" t="s">
        <v>179</v>
      </c>
      <c r="S102" t="s">
        <v>179</v>
      </c>
      <c r="T102" t="s">
        <v>179</v>
      </c>
      <c r="U102" t="s">
        <v>179</v>
      </c>
      <c r="V102" t="s">
        <v>179</v>
      </c>
      <c r="W102" t="s">
        <v>179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s">
        <v>179</v>
      </c>
      <c r="AI102" t="s">
        <v>179</v>
      </c>
      <c r="AJ102" t="s">
        <v>179</v>
      </c>
      <c r="AK102" t="s">
        <v>179</v>
      </c>
      <c r="AL102" t="s">
        <v>179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</row>
    <row r="103" spans="1:50" x14ac:dyDescent="0.2">
      <c r="A103" t="s">
        <v>225</v>
      </c>
      <c r="B103">
        <v>663</v>
      </c>
      <c r="C103" t="s">
        <v>59</v>
      </c>
      <c r="D103">
        <v>0.60825823201258766</v>
      </c>
      <c r="E103">
        <v>0.62707855765382248</v>
      </c>
      <c r="F103" t="s">
        <v>179</v>
      </c>
      <c r="G103" t="s">
        <v>179</v>
      </c>
      <c r="H103">
        <v>0.60825823201258766</v>
      </c>
      <c r="I103">
        <v>0.61322730876474951</v>
      </c>
      <c r="J103">
        <v>0.60155977185426601</v>
      </c>
      <c r="K103">
        <v>0.60161885077088129</v>
      </c>
      <c r="L103">
        <v>0.603418469954493</v>
      </c>
      <c r="M103">
        <v>0.61306586569405708</v>
      </c>
      <c r="N103">
        <v>0.62588583586322255</v>
      </c>
      <c r="O103">
        <v>0.62277363516983697</v>
      </c>
      <c r="P103">
        <v>0.61438535488941703</v>
      </c>
      <c r="Q103">
        <v>0.61536178335941283</v>
      </c>
      <c r="R103">
        <v>0.61379811974362186</v>
      </c>
      <c r="S103">
        <v>0.60894746467030791</v>
      </c>
      <c r="T103">
        <v>0.61658088743904094</v>
      </c>
      <c r="U103">
        <v>0.62371804131157016</v>
      </c>
      <c r="V103">
        <v>0.62707855765382248</v>
      </c>
      <c r="W103" t="s">
        <v>179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 x14ac:dyDescent="0.2">
      <c r="A104" t="s">
        <v>224</v>
      </c>
      <c r="B104">
        <v>663</v>
      </c>
      <c r="C104" t="s">
        <v>155</v>
      </c>
      <c r="D104">
        <v>0.60624554470552339</v>
      </c>
      <c r="E104">
        <v>0.29299999999999998</v>
      </c>
      <c r="F104">
        <v>9</v>
      </c>
      <c r="G104" t="s">
        <v>179</v>
      </c>
      <c r="H104">
        <v>0.60624554470552339</v>
      </c>
      <c r="I104">
        <v>0.6003606109118067</v>
      </c>
      <c r="J104">
        <v>0.56672049660273471</v>
      </c>
      <c r="K104">
        <v>0.56505053089420487</v>
      </c>
      <c r="L104">
        <v>0.55858964766947594</v>
      </c>
      <c r="M104">
        <v>0.57293355623542019</v>
      </c>
      <c r="N104">
        <v>0.55647925884176408</v>
      </c>
      <c r="O104">
        <v>0.50578737963233145</v>
      </c>
      <c r="P104">
        <v>0.4257302289740203</v>
      </c>
      <c r="Q104">
        <v>0.29299999999999998</v>
      </c>
      <c r="R104" t="s">
        <v>179</v>
      </c>
      <c r="S104" t="s">
        <v>179</v>
      </c>
      <c r="T104" t="s">
        <v>179</v>
      </c>
      <c r="U104" t="s">
        <v>179</v>
      </c>
      <c r="V104" t="s">
        <v>179</v>
      </c>
      <c r="W104" t="s">
        <v>179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s">
        <v>179</v>
      </c>
      <c r="AI104" t="s">
        <v>179</v>
      </c>
      <c r="AJ104" t="s">
        <v>179</v>
      </c>
      <c r="AK104" t="s">
        <v>179</v>
      </c>
      <c r="AL104" t="s">
        <v>179</v>
      </c>
      <c r="AM104">
        <v>0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</row>
    <row r="105" spans="1:50" x14ac:dyDescent="0.2">
      <c r="A105" t="s">
        <v>224</v>
      </c>
      <c r="B105">
        <v>664</v>
      </c>
      <c r="C105" t="s">
        <v>40</v>
      </c>
      <c r="D105">
        <v>0.55064648528780769</v>
      </c>
      <c r="E105">
        <v>0.218</v>
      </c>
      <c r="F105">
        <v>7</v>
      </c>
      <c r="G105" t="s">
        <v>179</v>
      </c>
      <c r="H105">
        <v>0.55064648528780769</v>
      </c>
      <c r="I105">
        <v>0.549575524587538</v>
      </c>
      <c r="J105">
        <v>0.51272803623635999</v>
      </c>
      <c r="K105">
        <v>0.51483657177285735</v>
      </c>
      <c r="L105">
        <v>0.50352579715649359</v>
      </c>
      <c r="M105">
        <v>0.51794063841969651</v>
      </c>
      <c r="N105">
        <v>0.50883317994287525</v>
      </c>
      <c r="O105">
        <v>0.218</v>
      </c>
      <c r="P105" t="s">
        <v>179</v>
      </c>
      <c r="Q105" t="s">
        <v>179</v>
      </c>
      <c r="R105" t="s">
        <v>179</v>
      </c>
      <c r="S105" t="s">
        <v>179</v>
      </c>
      <c r="T105" t="s">
        <v>179</v>
      </c>
      <c r="U105" t="s">
        <v>179</v>
      </c>
      <c r="V105" t="s">
        <v>179</v>
      </c>
      <c r="W105" t="s">
        <v>179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179</v>
      </c>
      <c r="AG105" t="s">
        <v>179</v>
      </c>
      <c r="AH105" t="s">
        <v>179</v>
      </c>
      <c r="AI105" t="s">
        <v>179</v>
      </c>
      <c r="AJ105" t="s">
        <v>179</v>
      </c>
      <c r="AK105" t="s">
        <v>179</v>
      </c>
      <c r="AL105" t="s">
        <v>179</v>
      </c>
      <c r="AM105">
        <v>0</v>
      </c>
      <c r="AN105">
        <v>0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</row>
    <row r="106" spans="1:50" x14ac:dyDescent="0.2">
      <c r="A106" t="s">
        <v>225</v>
      </c>
      <c r="B106">
        <v>664</v>
      </c>
      <c r="C106" t="s">
        <v>69</v>
      </c>
      <c r="D106">
        <v>0.53822809104258451</v>
      </c>
      <c r="E106">
        <v>0.55298013245033117</v>
      </c>
      <c r="F106" t="s">
        <v>179</v>
      </c>
      <c r="G106" t="s">
        <v>179</v>
      </c>
      <c r="H106">
        <v>0.53822809104258451</v>
      </c>
      <c r="I106">
        <v>0.53530320127907116</v>
      </c>
      <c r="J106">
        <v>0.53698992844708415</v>
      </c>
      <c r="K106">
        <v>0.56728627476749072</v>
      </c>
      <c r="L106">
        <v>0.5449982804949971</v>
      </c>
      <c r="M106">
        <v>0.56599749058971149</v>
      </c>
      <c r="N106">
        <v>0.56137869448245115</v>
      </c>
      <c r="O106">
        <v>0.57691939733059305</v>
      </c>
      <c r="P106">
        <v>0.56888161392223247</v>
      </c>
      <c r="Q106">
        <v>0.53407146907912506</v>
      </c>
      <c r="R106">
        <v>0.52886857815907362</v>
      </c>
      <c r="S106">
        <v>0.49958106671334868</v>
      </c>
      <c r="T106">
        <v>0.57468519507301263</v>
      </c>
      <c r="U106">
        <v>0.58651630896083418</v>
      </c>
      <c r="V106">
        <v>0.55298013245033117</v>
      </c>
      <c r="W106" t="s">
        <v>179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 x14ac:dyDescent="0.2">
      <c r="A107" t="s">
        <v>224</v>
      </c>
      <c r="B107">
        <v>664</v>
      </c>
      <c r="C107" t="s">
        <v>118</v>
      </c>
      <c r="D107">
        <v>0.53870277036538783</v>
      </c>
      <c r="E107">
        <v>0.30310872976457781</v>
      </c>
      <c r="F107">
        <v>7</v>
      </c>
      <c r="G107" t="s">
        <v>179</v>
      </c>
      <c r="H107">
        <v>0.53870277036538783</v>
      </c>
      <c r="I107">
        <v>0.52530649465579127</v>
      </c>
      <c r="J107">
        <v>0.49884123048668499</v>
      </c>
      <c r="K107">
        <v>0.50177935943060492</v>
      </c>
      <c r="L107">
        <v>0.49483823563175999</v>
      </c>
      <c r="M107">
        <v>0.50856999874890529</v>
      </c>
      <c r="N107">
        <v>0.46552553702206978</v>
      </c>
      <c r="O107">
        <v>0.45666666666666661</v>
      </c>
      <c r="P107">
        <v>0.30310872976457781</v>
      </c>
      <c r="Q107" t="s">
        <v>179</v>
      </c>
      <c r="R107" t="s">
        <v>179</v>
      </c>
      <c r="S107" t="s">
        <v>179</v>
      </c>
      <c r="T107" t="s">
        <v>179</v>
      </c>
      <c r="U107" t="s">
        <v>179</v>
      </c>
      <c r="V107" t="s">
        <v>179</v>
      </c>
      <c r="W107" t="s">
        <v>179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179</v>
      </c>
      <c r="AG107" t="s">
        <v>179</v>
      </c>
      <c r="AH107" t="s">
        <v>179</v>
      </c>
      <c r="AI107" t="s">
        <v>179</v>
      </c>
      <c r="AJ107" t="s">
        <v>179</v>
      </c>
      <c r="AK107" t="s">
        <v>179</v>
      </c>
      <c r="AL107" t="s">
        <v>179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</row>
    <row r="108" spans="1:50" x14ac:dyDescent="0.2">
      <c r="A108" t="s">
        <v>224</v>
      </c>
      <c r="B108">
        <v>665</v>
      </c>
      <c r="C108" t="s">
        <v>54</v>
      </c>
      <c r="D108">
        <v>0.52795236520013233</v>
      </c>
      <c r="E108">
        <v>0.35599999999999998</v>
      </c>
      <c r="F108">
        <v>6</v>
      </c>
      <c r="G108" t="s">
        <v>179</v>
      </c>
      <c r="H108">
        <v>0.52795236520013233</v>
      </c>
      <c r="I108">
        <v>0.5246274802241806</v>
      </c>
      <c r="J108">
        <v>0.49577547554610146</v>
      </c>
      <c r="K108">
        <v>0.47685227137907715</v>
      </c>
      <c r="L108">
        <v>0.46077960326347783</v>
      </c>
      <c r="M108">
        <v>0.45591560740706427</v>
      </c>
      <c r="N108">
        <v>0.35599999999999998</v>
      </c>
      <c r="O108" t="s">
        <v>179</v>
      </c>
      <c r="P108" t="s">
        <v>179</v>
      </c>
      <c r="Q108" t="s">
        <v>179</v>
      </c>
      <c r="R108" t="s">
        <v>179</v>
      </c>
      <c r="S108" t="s">
        <v>179</v>
      </c>
      <c r="T108" t="s">
        <v>179</v>
      </c>
      <c r="U108" t="s">
        <v>179</v>
      </c>
      <c r="V108" t="s">
        <v>179</v>
      </c>
      <c r="W108" t="s">
        <v>179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179</v>
      </c>
      <c r="AF108" t="s">
        <v>179</v>
      </c>
      <c r="AG108" t="s">
        <v>179</v>
      </c>
      <c r="AH108" t="s">
        <v>179</v>
      </c>
      <c r="AI108" t="s">
        <v>179</v>
      </c>
      <c r="AJ108" t="s">
        <v>179</v>
      </c>
      <c r="AK108" t="s">
        <v>179</v>
      </c>
      <c r="AL108" t="s">
        <v>179</v>
      </c>
      <c r="AM108">
        <v>0</v>
      </c>
      <c r="AN108">
        <v>0</v>
      </c>
      <c r="AO108">
        <v>0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</row>
    <row r="109" spans="1:50" x14ac:dyDescent="0.2">
      <c r="A109" t="s">
        <v>225</v>
      </c>
      <c r="B109">
        <v>665</v>
      </c>
      <c r="C109" t="s">
        <v>67</v>
      </c>
      <c r="D109">
        <v>0.52690320032313609</v>
      </c>
      <c r="E109">
        <v>0.5430871212121211</v>
      </c>
      <c r="F109" t="s">
        <v>179</v>
      </c>
      <c r="G109" t="s">
        <v>179</v>
      </c>
      <c r="H109">
        <v>0.52690320032313609</v>
      </c>
      <c r="I109">
        <v>0.53446392584682967</v>
      </c>
      <c r="J109">
        <v>0.51319060163835495</v>
      </c>
      <c r="K109">
        <v>0.51689618917847557</v>
      </c>
      <c r="L109">
        <v>0.48337392785007605</v>
      </c>
      <c r="M109">
        <v>0.53394562945468049</v>
      </c>
      <c r="N109">
        <v>0.53066361194461731</v>
      </c>
      <c r="O109">
        <v>0.53383253340410686</v>
      </c>
      <c r="P109">
        <v>0.52577952369260994</v>
      </c>
      <c r="Q109">
        <v>0.51538055589418508</v>
      </c>
      <c r="R109">
        <v>0.49479933472652909</v>
      </c>
      <c r="S109">
        <v>0.49990027176672852</v>
      </c>
      <c r="T109">
        <v>0.54228855238371254</v>
      </c>
      <c r="U109">
        <v>0.55455259026687598</v>
      </c>
      <c r="V109">
        <v>0.5430871212121211</v>
      </c>
      <c r="W109" t="s">
        <v>179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 x14ac:dyDescent="0.2">
      <c r="A110" t="s">
        <v>224</v>
      </c>
      <c r="B110">
        <v>665</v>
      </c>
      <c r="C110" t="s">
        <v>123</v>
      </c>
      <c r="D110">
        <v>0.53237279076665533</v>
      </c>
      <c r="E110">
        <v>0.35997405851811809</v>
      </c>
      <c r="F110">
        <v>4</v>
      </c>
      <c r="G110" t="s">
        <v>179</v>
      </c>
      <c r="H110">
        <v>0.53237279076665533</v>
      </c>
      <c r="I110">
        <v>0.5281319915064383</v>
      </c>
      <c r="J110">
        <v>0.50409190512838964</v>
      </c>
      <c r="K110">
        <v>0.46015808833667005</v>
      </c>
      <c r="L110">
        <v>0.35997405851811809</v>
      </c>
      <c r="M110" t="s">
        <v>179</v>
      </c>
      <c r="N110" t="s">
        <v>179</v>
      </c>
      <c r="O110" t="s">
        <v>179</v>
      </c>
      <c r="P110" t="s">
        <v>179</v>
      </c>
      <c r="Q110" t="s">
        <v>179</v>
      </c>
      <c r="R110" t="s">
        <v>179</v>
      </c>
      <c r="S110" t="s">
        <v>179</v>
      </c>
      <c r="T110" t="s">
        <v>179</v>
      </c>
      <c r="U110" t="s">
        <v>179</v>
      </c>
      <c r="V110" t="s">
        <v>179</v>
      </c>
      <c r="W110" t="s">
        <v>179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179</v>
      </c>
      <c r="AD110" t="s">
        <v>179</v>
      </c>
      <c r="AE110" t="s">
        <v>179</v>
      </c>
      <c r="AF110" t="s">
        <v>179</v>
      </c>
      <c r="AG110" t="s">
        <v>179</v>
      </c>
      <c r="AH110" t="s">
        <v>179</v>
      </c>
      <c r="AI110" t="s">
        <v>179</v>
      </c>
      <c r="AJ110" t="s">
        <v>179</v>
      </c>
      <c r="AK110" t="s">
        <v>179</v>
      </c>
      <c r="AL110" t="s">
        <v>179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</row>
    <row r="111" spans="1:50" x14ac:dyDescent="0.2">
      <c r="A111" t="s">
        <v>224</v>
      </c>
      <c r="B111">
        <v>666</v>
      </c>
      <c r="C111" t="s">
        <v>45</v>
      </c>
      <c r="D111">
        <v>0.54767591401800486</v>
      </c>
      <c r="E111">
        <v>0.43349518179234892</v>
      </c>
      <c r="F111" t="s">
        <v>179</v>
      </c>
      <c r="G111">
        <v>9</v>
      </c>
      <c r="H111">
        <v>0.54767591401800486</v>
      </c>
      <c r="I111">
        <v>0.54610342612419704</v>
      </c>
      <c r="J111">
        <v>0.51792024491630617</v>
      </c>
      <c r="K111">
        <v>0.50984155594921754</v>
      </c>
      <c r="L111">
        <v>0.5169319988999731</v>
      </c>
      <c r="M111">
        <v>0.49150699382958579</v>
      </c>
      <c r="N111">
        <v>0.49195602355259183</v>
      </c>
      <c r="O111">
        <v>0.47641849474307318</v>
      </c>
      <c r="P111">
        <v>0.43349518179234892</v>
      </c>
      <c r="Q111" t="s">
        <v>179</v>
      </c>
      <c r="R111" t="s">
        <v>179</v>
      </c>
      <c r="S111" t="s">
        <v>179</v>
      </c>
      <c r="T111" t="s">
        <v>179</v>
      </c>
      <c r="U111" t="s">
        <v>179</v>
      </c>
      <c r="V111" t="s">
        <v>179</v>
      </c>
      <c r="W111" t="s">
        <v>179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 t="s">
        <v>179</v>
      </c>
      <c r="AN111" t="s">
        <v>179</v>
      </c>
      <c r="AO111" t="s">
        <v>179</v>
      </c>
      <c r="AP111" t="s">
        <v>179</v>
      </c>
      <c r="AQ111" t="s">
        <v>179</v>
      </c>
      <c r="AR111" t="s">
        <v>179</v>
      </c>
      <c r="AS111" t="s">
        <v>179</v>
      </c>
      <c r="AT111" t="s">
        <v>179</v>
      </c>
      <c r="AU111" t="s">
        <v>179</v>
      </c>
      <c r="AV111" t="s">
        <v>179</v>
      </c>
      <c r="AW111" t="s">
        <v>179</v>
      </c>
      <c r="AX111" t="s">
        <v>179</v>
      </c>
    </row>
    <row r="112" spans="1:50" x14ac:dyDescent="0.2">
      <c r="A112" t="s">
        <v>225</v>
      </c>
      <c r="B112">
        <v>666</v>
      </c>
      <c r="C112" t="s">
        <v>75</v>
      </c>
      <c r="D112">
        <v>0.55060530291959153</v>
      </c>
      <c r="E112">
        <v>0.5692314928040636</v>
      </c>
      <c r="F112" t="s">
        <v>179</v>
      </c>
      <c r="G112" t="s">
        <v>179</v>
      </c>
      <c r="H112">
        <v>0.55060530291959153</v>
      </c>
      <c r="I112">
        <v>0.57419192424242427</v>
      </c>
      <c r="J112">
        <v>0.55971369631901835</v>
      </c>
      <c r="K112">
        <v>0.55301633203015732</v>
      </c>
      <c r="L112">
        <v>0.50515250893273267</v>
      </c>
      <c r="M112">
        <v>0.55851752176825187</v>
      </c>
      <c r="N112">
        <v>0.58067680048453696</v>
      </c>
      <c r="O112">
        <v>0.58376791765597735</v>
      </c>
      <c r="P112">
        <v>0.56545266520122262</v>
      </c>
      <c r="Q112">
        <v>0.56854401441714897</v>
      </c>
      <c r="R112">
        <v>0.54732569041212287</v>
      </c>
      <c r="S112">
        <v>0.49357340662842575</v>
      </c>
      <c r="T112">
        <v>0.57093851513298666</v>
      </c>
      <c r="U112">
        <v>0.57171983689134087</v>
      </c>
      <c r="V112">
        <v>0.5692314928040636</v>
      </c>
      <c r="W112" t="s">
        <v>179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 x14ac:dyDescent="0.2">
      <c r="A113" t="s">
        <v>224</v>
      </c>
      <c r="B113">
        <v>666</v>
      </c>
      <c r="C113" t="s">
        <v>127</v>
      </c>
      <c r="D113">
        <v>0.55494505272200323</v>
      </c>
      <c r="E113">
        <v>0.45415911624523397</v>
      </c>
      <c r="F113" t="s">
        <v>179</v>
      </c>
      <c r="G113">
        <v>9</v>
      </c>
      <c r="H113">
        <v>0.55494505272200323</v>
      </c>
      <c r="I113">
        <v>0.55317931626600059</v>
      </c>
      <c r="J113">
        <v>0.53407207253262334</v>
      </c>
      <c r="K113">
        <v>0.52710828640307961</v>
      </c>
      <c r="L113">
        <v>0.50902872777017782</v>
      </c>
      <c r="M113">
        <v>0.49653066888703856</v>
      </c>
      <c r="N113">
        <v>0.491776167445996</v>
      </c>
      <c r="O113">
        <v>0.45982950421167923</v>
      </c>
      <c r="P113">
        <v>0.45415911624523397</v>
      </c>
      <c r="Q113" t="s">
        <v>179</v>
      </c>
      <c r="R113" t="s">
        <v>179</v>
      </c>
      <c r="S113" t="s">
        <v>179</v>
      </c>
      <c r="T113" t="s">
        <v>179</v>
      </c>
      <c r="U113" t="s">
        <v>179</v>
      </c>
      <c r="V113" t="s">
        <v>179</v>
      </c>
      <c r="W113" t="s">
        <v>179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 t="s">
        <v>179</v>
      </c>
      <c r="AN113" t="s">
        <v>179</v>
      </c>
      <c r="AO113" t="s">
        <v>179</v>
      </c>
      <c r="AP113" t="s">
        <v>179</v>
      </c>
      <c r="AQ113" t="s">
        <v>179</v>
      </c>
      <c r="AR113" t="s">
        <v>179</v>
      </c>
      <c r="AS113" t="s">
        <v>179</v>
      </c>
      <c r="AT113" t="s">
        <v>179</v>
      </c>
      <c r="AU113" t="s">
        <v>179</v>
      </c>
      <c r="AV113" t="s">
        <v>179</v>
      </c>
      <c r="AW113" t="s">
        <v>179</v>
      </c>
      <c r="AX113" t="s">
        <v>179</v>
      </c>
    </row>
    <row r="114" spans="1:50" x14ac:dyDescent="0.2">
      <c r="A114" t="s">
        <v>224</v>
      </c>
      <c r="B114">
        <v>667</v>
      </c>
      <c r="C114" t="s">
        <v>7</v>
      </c>
      <c r="D114">
        <v>0.51950564583674952</v>
      </c>
      <c r="E114">
        <v>0.36287383542711471</v>
      </c>
      <c r="F114">
        <v>11</v>
      </c>
      <c r="G114" t="s">
        <v>179</v>
      </c>
      <c r="H114">
        <v>0.51950564583674952</v>
      </c>
      <c r="I114">
        <v>0.53186445869813892</v>
      </c>
      <c r="J114">
        <v>0.50673357007270359</v>
      </c>
      <c r="K114">
        <v>0.49302024835722136</v>
      </c>
      <c r="L114">
        <v>0.48466666666666663</v>
      </c>
      <c r="M114">
        <v>0.50399216504404265</v>
      </c>
      <c r="N114">
        <v>0.4996666666666667</v>
      </c>
      <c r="O114">
        <v>0.49928855061435379</v>
      </c>
      <c r="P114">
        <v>0.49417637600117381</v>
      </c>
      <c r="Q114">
        <v>0.44696729142348551</v>
      </c>
      <c r="R114">
        <v>0.40410299463031812</v>
      </c>
      <c r="S114">
        <v>0.36287383542711471</v>
      </c>
      <c r="T114" t="s">
        <v>179</v>
      </c>
      <c r="U114" t="s">
        <v>179</v>
      </c>
      <c r="V114" t="s">
        <v>179</v>
      </c>
      <c r="W114">
        <v>0.49395339691279139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179</v>
      </c>
      <c r="AK114" t="s">
        <v>179</v>
      </c>
      <c r="AL114" t="s">
        <v>179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</row>
    <row r="115" spans="1:50" x14ac:dyDescent="0.2">
      <c r="A115" t="s">
        <v>225</v>
      </c>
      <c r="B115">
        <v>667</v>
      </c>
      <c r="C115" t="s">
        <v>96</v>
      </c>
      <c r="D115">
        <v>0.54274774521232283</v>
      </c>
      <c r="E115">
        <v>0.53474364624651094</v>
      </c>
      <c r="F115" t="s">
        <v>179</v>
      </c>
      <c r="G115" t="s">
        <v>179</v>
      </c>
      <c r="H115">
        <v>0.54274774521232283</v>
      </c>
      <c r="I115">
        <v>0.54624033760734814</v>
      </c>
      <c r="J115">
        <v>0.54480615925416476</v>
      </c>
      <c r="K115">
        <v>0.54726684731223973</v>
      </c>
      <c r="L115">
        <v>0.50927542290089167</v>
      </c>
      <c r="M115">
        <v>0.55171401296907929</v>
      </c>
      <c r="N115">
        <v>0.55540348980429721</v>
      </c>
      <c r="O115">
        <v>0.56428766592473567</v>
      </c>
      <c r="P115">
        <v>0.5588463709402135</v>
      </c>
      <c r="Q115">
        <v>0.54979480164158689</v>
      </c>
      <c r="R115">
        <v>0.54594048762178338</v>
      </c>
      <c r="S115">
        <v>0.51256874781560047</v>
      </c>
      <c r="T115">
        <v>0.54569140435686869</v>
      </c>
      <c r="U115">
        <v>0.56696409869716391</v>
      </c>
      <c r="V115">
        <v>0.53474364624651094</v>
      </c>
      <c r="W115">
        <v>0.55957305973854055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</row>
    <row r="116" spans="1:50" x14ac:dyDescent="0.2">
      <c r="A116" t="s">
        <v>224</v>
      </c>
      <c r="B116">
        <v>667</v>
      </c>
      <c r="C116" t="s">
        <v>135</v>
      </c>
      <c r="D116">
        <v>0.55754763388633166</v>
      </c>
      <c r="E116">
        <v>0.38422903063787039</v>
      </c>
      <c r="F116">
        <v>12</v>
      </c>
      <c r="G116" t="s">
        <v>179</v>
      </c>
      <c r="H116">
        <v>0.55754763388633166</v>
      </c>
      <c r="I116">
        <v>0.55033556185980614</v>
      </c>
      <c r="J116">
        <v>0.53016809234015316</v>
      </c>
      <c r="K116">
        <v>0.52192933551278364</v>
      </c>
      <c r="L116">
        <v>0.52683079439353975</v>
      </c>
      <c r="M116">
        <v>0.52172137668221252</v>
      </c>
      <c r="N116">
        <v>0.53032223454833594</v>
      </c>
      <c r="O116">
        <v>0.50134409186535767</v>
      </c>
      <c r="P116">
        <v>0.51214201976218388</v>
      </c>
      <c r="Q116">
        <v>0.47284039729155442</v>
      </c>
      <c r="R116">
        <v>0.4597393077126366</v>
      </c>
      <c r="S116">
        <v>0.42400162014949405</v>
      </c>
      <c r="T116">
        <v>0.38422903063787039</v>
      </c>
      <c r="U116" t="s">
        <v>179</v>
      </c>
      <c r="V116" t="s">
        <v>179</v>
      </c>
      <c r="W116">
        <v>0.53613666228646528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t="s">
        <v>179</v>
      </c>
      <c r="AL116" t="s">
        <v>179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</row>
    <row r="117" spans="1:50" x14ac:dyDescent="0.2">
      <c r="A117" t="s">
        <v>224</v>
      </c>
      <c r="B117">
        <v>668</v>
      </c>
      <c r="C117" t="s">
        <v>39</v>
      </c>
      <c r="D117">
        <v>0.55176470348537277</v>
      </c>
      <c r="E117">
        <v>0.52151522891054602</v>
      </c>
      <c r="F117" t="s">
        <v>179</v>
      </c>
      <c r="G117">
        <v>6</v>
      </c>
      <c r="H117">
        <v>0.55176470348537277</v>
      </c>
      <c r="I117">
        <v>0.52831766457680251</v>
      </c>
      <c r="J117">
        <v>0.51900053906413268</v>
      </c>
      <c r="K117">
        <v>0.51087607019994052</v>
      </c>
      <c r="L117">
        <v>0.51711158197767115</v>
      </c>
      <c r="M117">
        <v>0.52151522891054602</v>
      </c>
      <c r="N117" t="s">
        <v>179</v>
      </c>
      <c r="O117" t="s">
        <v>179</v>
      </c>
      <c r="P117" t="s">
        <v>179</v>
      </c>
      <c r="Q117" t="s">
        <v>179</v>
      </c>
      <c r="R117" t="s">
        <v>179</v>
      </c>
      <c r="S117" t="s">
        <v>179</v>
      </c>
      <c r="T117" t="s">
        <v>179</v>
      </c>
      <c r="U117" t="s">
        <v>179</v>
      </c>
      <c r="V117" t="s">
        <v>179</v>
      </c>
      <c r="W117" t="s">
        <v>179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 t="s">
        <v>179</v>
      </c>
      <c r="AN117" t="s">
        <v>179</v>
      </c>
      <c r="AO117" t="s">
        <v>179</v>
      </c>
      <c r="AP117" t="s">
        <v>179</v>
      </c>
      <c r="AQ117" t="s">
        <v>179</v>
      </c>
      <c r="AR117" t="s">
        <v>179</v>
      </c>
      <c r="AS117" t="s">
        <v>179</v>
      </c>
      <c r="AT117" t="s">
        <v>179</v>
      </c>
      <c r="AU117" t="s">
        <v>179</v>
      </c>
      <c r="AV117" t="s">
        <v>179</v>
      </c>
      <c r="AW117" t="s">
        <v>179</v>
      </c>
      <c r="AX117" t="s">
        <v>179</v>
      </c>
    </row>
    <row r="118" spans="1:50" x14ac:dyDescent="0.2">
      <c r="A118" t="s">
        <v>225</v>
      </c>
      <c r="B118">
        <v>668</v>
      </c>
      <c r="C118" t="s">
        <v>114</v>
      </c>
      <c r="D118">
        <v>0.55610117218438138</v>
      </c>
      <c r="E118">
        <v>0.53666302765647744</v>
      </c>
      <c r="F118" t="s">
        <v>179</v>
      </c>
      <c r="G118" t="s">
        <v>179</v>
      </c>
      <c r="H118">
        <v>0.55610117218438138</v>
      </c>
      <c r="I118">
        <v>0.56540675066106705</v>
      </c>
      <c r="J118">
        <v>0.56871727028150054</v>
      </c>
      <c r="K118">
        <v>0.56391875320020479</v>
      </c>
      <c r="L118">
        <v>0.55679381443255704</v>
      </c>
      <c r="M118">
        <v>0.57024139295607446</v>
      </c>
      <c r="N118">
        <v>0.58391160404900944</v>
      </c>
      <c r="O118">
        <v>0.59251715117342107</v>
      </c>
      <c r="P118">
        <v>0.58098172520024638</v>
      </c>
      <c r="Q118">
        <v>0.56188448923385081</v>
      </c>
      <c r="R118">
        <v>0.55022652710513986</v>
      </c>
      <c r="S118">
        <v>0.56092748154876215</v>
      </c>
      <c r="T118">
        <v>0.57793984180848657</v>
      </c>
      <c r="U118">
        <v>0.58039517994076351</v>
      </c>
      <c r="V118">
        <v>0.53666302765647744</v>
      </c>
      <c r="W118">
        <v>0.55812206572769951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 x14ac:dyDescent="0.2">
      <c r="A119" t="s">
        <v>224</v>
      </c>
      <c r="B119">
        <v>668</v>
      </c>
      <c r="C119" t="s">
        <v>122</v>
      </c>
      <c r="D119">
        <v>0.56569521879651818</v>
      </c>
      <c r="E119">
        <v>0.51325928422840672</v>
      </c>
      <c r="F119" t="s">
        <v>179</v>
      </c>
      <c r="G119">
        <v>5</v>
      </c>
      <c r="H119">
        <v>0.56569521879651818</v>
      </c>
      <c r="I119">
        <v>0.56722374374046503</v>
      </c>
      <c r="J119">
        <v>0.5247744291546953</v>
      </c>
      <c r="K119">
        <v>0.51691677547529336</v>
      </c>
      <c r="L119">
        <v>0.51325928422840672</v>
      </c>
      <c r="M119" t="s">
        <v>179</v>
      </c>
      <c r="N119" t="s">
        <v>179</v>
      </c>
      <c r="O119" t="s">
        <v>179</v>
      </c>
      <c r="P119" t="s">
        <v>179</v>
      </c>
      <c r="Q119" t="s">
        <v>179</v>
      </c>
      <c r="R119" t="s">
        <v>179</v>
      </c>
      <c r="S119" t="s">
        <v>179</v>
      </c>
      <c r="T119" t="s">
        <v>179</v>
      </c>
      <c r="U119" t="s">
        <v>179</v>
      </c>
      <c r="V119" t="s">
        <v>179</v>
      </c>
      <c r="W119" t="s">
        <v>179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 t="s">
        <v>179</v>
      </c>
      <c r="AN119" t="s">
        <v>179</v>
      </c>
      <c r="AO119" t="s">
        <v>179</v>
      </c>
      <c r="AP119" t="s">
        <v>179</v>
      </c>
      <c r="AQ119" t="s">
        <v>179</v>
      </c>
      <c r="AR119" t="s">
        <v>179</v>
      </c>
      <c r="AS119" t="s">
        <v>179</v>
      </c>
      <c r="AT119" t="s">
        <v>179</v>
      </c>
      <c r="AU119" t="s">
        <v>179</v>
      </c>
      <c r="AV119" t="s">
        <v>179</v>
      </c>
      <c r="AW119" t="s">
        <v>179</v>
      </c>
      <c r="AX119" t="s">
        <v>179</v>
      </c>
    </row>
    <row r="120" spans="1:50" x14ac:dyDescent="0.2">
      <c r="A120" t="s">
        <v>224</v>
      </c>
      <c r="B120">
        <v>669</v>
      </c>
      <c r="C120" t="s">
        <v>46</v>
      </c>
      <c r="D120">
        <v>0.55130176051418189</v>
      </c>
      <c r="E120">
        <v>0.46759042523442734</v>
      </c>
      <c r="F120" t="s">
        <v>179</v>
      </c>
      <c r="G120">
        <v>9</v>
      </c>
      <c r="H120">
        <v>0.55130176051418189</v>
      </c>
      <c r="I120">
        <v>0.52075831751101664</v>
      </c>
      <c r="J120">
        <v>0.50636683551142325</v>
      </c>
      <c r="K120">
        <v>0.51664747408260658</v>
      </c>
      <c r="L120">
        <v>0.4930083924640013</v>
      </c>
      <c r="M120">
        <v>0.48006299041326833</v>
      </c>
      <c r="N120">
        <v>0.49786570143599451</v>
      </c>
      <c r="O120">
        <v>0.4949664503801498</v>
      </c>
      <c r="P120">
        <v>0.46759042523442734</v>
      </c>
      <c r="Q120" t="s">
        <v>179</v>
      </c>
      <c r="R120" t="s">
        <v>179</v>
      </c>
      <c r="S120" t="s">
        <v>179</v>
      </c>
      <c r="T120" t="s">
        <v>179</v>
      </c>
      <c r="U120" t="s">
        <v>179</v>
      </c>
      <c r="V120" t="s">
        <v>179</v>
      </c>
      <c r="W120" t="s">
        <v>179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 t="s">
        <v>179</v>
      </c>
      <c r="AN120" t="s">
        <v>179</v>
      </c>
      <c r="AO120" t="s">
        <v>179</v>
      </c>
      <c r="AP120" t="s">
        <v>179</v>
      </c>
      <c r="AQ120" t="s">
        <v>179</v>
      </c>
      <c r="AR120" t="s">
        <v>179</v>
      </c>
      <c r="AS120" t="s">
        <v>179</v>
      </c>
      <c r="AT120" t="s">
        <v>179</v>
      </c>
      <c r="AU120" t="s">
        <v>179</v>
      </c>
      <c r="AV120" t="s">
        <v>179</v>
      </c>
      <c r="AW120" t="s">
        <v>179</v>
      </c>
      <c r="AX120" t="s">
        <v>179</v>
      </c>
    </row>
    <row r="121" spans="1:50" x14ac:dyDescent="0.2">
      <c r="A121" t="s">
        <v>225</v>
      </c>
      <c r="B121">
        <v>669</v>
      </c>
      <c r="C121" t="s">
        <v>115</v>
      </c>
      <c r="D121">
        <v>0.56838737590999333</v>
      </c>
      <c r="E121">
        <v>0.57177661169415295</v>
      </c>
      <c r="F121" t="s">
        <v>179</v>
      </c>
      <c r="G121" t="s">
        <v>179</v>
      </c>
      <c r="H121">
        <v>0.56838737590999333</v>
      </c>
      <c r="I121">
        <v>0.56159005398331419</v>
      </c>
      <c r="J121">
        <v>0.56665431615563633</v>
      </c>
      <c r="K121">
        <v>0.57713248638838477</v>
      </c>
      <c r="L121">
        <v>0.55394564324429596</v>
      </c>
      <c r="M121">
        <v>0.57964943965559101</v>
      </c>
      <c r="N121">
        <v>0.60188827445489135</v>
      </c>
      <c r="O121">
        <v>0.59976531327368798</v>
      </c>
      <c r="P121">
        <v>0.5850356349301159</v>
      </c>
      <c r="Q121">
        <v>0.57931829830855974</v>
      </c>
      <c r="R121">
        <v>0.57130250365644852</v>
      </c>
      <c r="S121">
        <v>0.54458442975299626</v>
      </c>
      <c r="T121">
        <v>0.59521997794481663</v>
      </c>
      <c r="U121">
        <v>0.60126858275520323</v>
      </c>
      <c r="V121">
        <v>0.57177661169415295</v>
      </c>
      <c r="W121" t="s">
        <v>179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</row>
    <row r="122" spans="1:50" x14ac:dyDescent="0.2">
      <c r="A122" t="s">
        <v>224</v>
      </c>
      <c r="B122">
        <v>669</v>
      </c>
      <c r="C122" t="s">
        <v>132</v>
      </c>
      <c r="D122">
        <v>0.55603330733159151</v>
      </c>
      <c r="E122">
        <v>0.43929324367088607</v>
      </c>
      <c r="F122" t="s">
        <v>179</v>
      </c>
      <c r="G122">
        <v>9</v>
      </c>
      <c r="H122">
        <v>0.55603330733159151</v>
      </c>
      <c r="I122">
        <v>0.55132417861409799</v>
      </c>
      <c r="J122">
        <v>0.52649081684945476</v>
      </c>
      <c r="K122">
        <v>0.52363502438455023</v>
      </c>
      <c r="L122">
        <v>0.51428712681052313</v>
      </c>
      <c r="M122">
        <v>0.5054950672478683</v>
      </c>
      <c r="N122">
        <v>0.50040713587974128</v>
      </c>
      <c r="O122">
        <v>0.49907124398531061</v>
      </c>
      <c r="P122">
        <v>0.43929324367088607</v>
      </c>
      <c r="Q122" t="s">
        <v>179</v>
      </c>
      <c r="R122" t="s">
        <v>179</v>
      </c>
      <c r="S122" t="s">
        <v>179</v>
      </c>
      <c r="T122" t="s">
        <v>179</v>
      </c>
      <c r="U122" t="s">
        <v>179</v>
      </c>
      <c r="V122" t="s">
        <v>179</v>
      </c>
      <c r="W122" t="s">
        <v>179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 t="s">
        <v>179</v>
      </c>
      <c r="AN122" t="s">
        <v>179</v>
      </c>
      <c r="AO122" t="s">
        <v>179</v>
      </c>
      <c r="AP122" t="s">
        <v>179</v>
      </c>
      <c r="AQ122" t="s">
        <v>179</v>
      </c>
      <c r="AR122" t="s">
        <v>179</v>
      </c>
      <c r="AS122" t="s">
        <v>179</v>
      </c>
      <c r="AT122" t="s">
        <v>179</v>
      </c>
      <c r="AU122" t="s">
        <v>179</v>
      </c>
      <c r="AV122" t="s">
        <v>179</v>
      </c>
      <c r="AW122" t="s">
        <v>179</v>
      </c>
      <c r="AX122" t="s">
        <v>179</v>
      </c>
    </row>
    <row r="123" spans="1:50" x14ac:dyDescent="0.2">
      <c r="A123" t="s">
        <v>224</v>
      </c>
      <c r="B123">
        <v>670</v>
      </c>
      <c r="C123" t="s">
        <v>1</v>
      </c>
      <c r="D123">
        <v>0.53735405999685892</v>
      </c>
      <c r="E123">
        <v>0.37084352792127695</v>
      </c>
      <c r="F123">
        <v>9</v>
      </c>
      <c r="G123" t="s">
        <v>179</v>
      </c>
      <c r="H123">
        <v>0.53735405999685892</v>
      </c>
      <c r="I123">
        <v>0.55681364446920567</v>
      </c>
      <c r="J123">
        <v>0.54045939750038385</v>
      </c>
      <c r="K123">
        <v>0.51450648782621367</v>
      </c>
      <c r="L123">
        <v>0.47484713647828036</v>
      </c>
      <c r="M123">
        <v>0.51714719271623677</v>
      </c>
      <c r="N123">
        <v>0.51256836077631984</v>
      </c>
      <c r="O123">
        <v>0.491451367781155</v>
      </c>
      <c r="P123">
        <v>0.43721125577488451</v>
      </c>
      <c r="Q123">
        <v>0.37084352792127695</v>
      </c>
      <c r="R123" t="s">
        <v>179</v>
      </c>
      <c r="S123" t="s">
        <v>179</v>
      </c>
      <c r="T123" t="s">
        <v>179</v>
      </c>
      <c r="U123" t="s">
        <v>179</v>
      </c>
      <c r="V123" t="s">
        <v>179</v>
      </c>
      <c r="W123" t="s">
        <v>179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s">
        <v>179</v>
      </c>
      <c r="AI123" t="s">
        <v>179</v>
      </c>
      <c r="AJ123" t="s">
        <v>179</v>
      </c>
      <c r="AK123" t="s">
        <v>179</v>
      </c>
      <c r="AL123" t="s">
        <v>179</v>
      </c>
      <c r="AM123">
        <v>0</v>
      </c>
      <c r="AN123">
        <v>0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</row>
    <row r="124" spans="1:50" x14ac:dyDescent="0.2">
      <c r="A124" t="s">
        <v>225</v>
      </c>
      <c r="B124">
        <v>670</v>
      </c>
      <c r="C124" t="s">
        <v>113</v>
      </c>
      <c r="D124">
        <v>0.56675625187994394</v>
      </c>
      <c r="E124">
        <v>0.56907396180660808</v>
      </c>
      <c r="F124" t="s">
        <v>179</v>
      </c>
      <c r="G124" t="s">
        <v>179</v>
      </c>
      <c r="H124">
        <v>0.56675625187994394</v>
      </c>
      <c r="I124">
        <v>0.57501161367853404</v>
      </c>
      <c r="J124">
        <v>0.5715922553030558</v>
      </c>
      <c r="K124">
        <v>0.57385304958108185</v>
      </c>
      <c r="L124">
        <v>0.56947108236883326</v>
      </c>
      <c r="M124">
        <v>0.57124921139359697</v>
      </c>
      <c r="N124">
        <v>0.59495607928479932</v>
      </c>
      <c r="O124">
        <v>0.59619209596882228</v>
      </c>
      <c r="P124">
        <v>0.58677988710985662</v>
      </c>
      <c r="Q124">
        <v>0.57878297678552304</v>
      </c>
      <c r="R124">
        <v>0.56365609829068131</v>
      </c>
      <c r="S124">
        <v>0.57041054843655503</v>
      </c>
      <c r="T124">
        <v>0.57616285951000124</v>
      </c>
      <c r="U124">
        <v>0.58747779751332141</v>
      </c>
      <c r="V124">
        <v>0.56907396180660808</v>
      </c>
      <c r="W124" t="s">
        <v>179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 x14ac:dyDescent="0.2">
      <c r="A125" t="s">
        <v>224</v>
      </c>
      <c r="B125">
        <v>670</v>
      </c>
      <c r="C125" t="s">
        <v>148</v>
      </c>
      <c r="D125">
        <v>0.52391196425616404</v>
      </c>
      <c r="E125">
        <v>0.33571305645383021</v>
      </c>
      <c r="F125">
        <v>10</v>
      </c>
      <c r="G125" t="s">
        <v>179</v>
      </c>
      <c r="H125">
        <v>0.52391196425616404</v>
      </c>
      <c r="I125">
        <v>0.5429861979909345</v>
      </c>
      <c r="J125">
        <v>0.51083574955081268</v>
      </c>
      <c r="K125">
        <v>0.50763429611938227</v>
      </c>
      <c r="L125">
        <v>0.49187339350814369</v>
      </c>
      <c r="M125">
        <v>0.4969830757910228</v>
      </c>
      <c r="N125">
        <v>0.49122397772745785</v>
      </c>
      <c r="O125">
        <v>0.46997837558962269</v>
      </c>
      <c r="P125">
        <v>0.45684720937912815</v>
      </c>
      <c r="Q125">
        <v>0.39878341814353391</v>
      </c>
      <c r="R125">
        <v>0.33571305645383021</v>
      </c>
      <c r="S125" t="s">
        <v>179</v>
      </c>
      <c r="T125" t="s">
        <v>179</v>
      </c>
      <c r="U125" t="s">
        <v>179</v>
      </c>
      <c r="V125" t="s">
        <v>179</v>
      </c>
      <c r="W125" t="s">
        <v>179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">
        <v>179</v>
      </c>
      <c r="AJ125" t="s">
        <v>179</v>
      </c>
      <c r="AK125" t="s">
        <v>179</v>
      </c>
      <c r="AL125" t="s">
        <v>179</v>
      </c>
      <c r="AM125">
        <v>0</v>
      </c>
      <c r="AN125">
        <v>0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</row>
    <row r="126" spans="1:50" x14ac:dyDescent="0.2">
      <c r="A126" t="s">
        <v>224</v>
      </c>
      <c r="B126">
        <v>671</v>
      </c>
      <c r="C126" t="s">
        <v>8</v>
      </c>
      <c r="D126">
        <v>0.51180771308153516</v>
      </c>
      <c r="E126">
        <v>0.50220076671872782</v>
      </c>
      <c r="F126" t="s">
        <v>179</v>
      </c>
      <c r="G126">
        <v>8</v>
      </c>
      <c r="H126">
        <v>0.51180771308153516</v>
      </c>
      <c r="I126">
        <v>0.53462850363339753</v>
      </c>
      <c r="J126">
        <v>0.51068168824374494</v>
      </c>
      <c r="K126">
        <v>0.51157518332967677</v>
      </c>
      <c r="L126">
        <v>0.49602344077019672</v>
      </c>
      <c r="M126">
        <v>0.50911797780572188</v>
      </c>
      <c r="N126">
        <v>0.51411228490835592</v>
      </c>
      <c r="O126">
        <v>0.50220076671872782</v>
      </c>
      <c r="P126" t="s">
        <v>179</v>
      </c>
      <c r="Q126" t="s">
        <v>179</v>
      </c>
      <c r="R126" t="s">
        <v>179</v>
      </c>
      <c r="S126" t="s">
        <v>179</v>
      </c>
      <c r="T126" t="s">
        <v>179</v>
      </c>
      <c r="U126" t="s">
        <v>179</v>
      </c>
      <c r="V126" t="s">
        <v>179</v>
      </c>
      <c r="W126" t="s">
        <v>179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179</v>
      </c>
      <c r="AG126" t="s">
        <v>179</v>
      </c>
      <c r="AH126" t="s">
        <v>179</v>
      </c>
      <c r="AI126" t="s">
        <v>179</v>
      </c>
      <c r="AJ126" t="s">
        <v>179</v>
      </c>
      <c r="AK126" t="s">
        <v>179</v>
      </c>
      <c r="AL126" t="s">
        <v>179</v>
      </c>
      <c r="AM126" t="s">
        <v>179</v>
      </c>
      <c r="AN126" t="s">
        <v>179</v>
      </c>
      <c r="AO126" t="s">
        <v>179</v>
      </c>
      <c r="AP126" t="s">
        <v>179</v>
      </c>
      <c r="AQ126" t="s">
        <v>179</v>
      </c>
      <c r="AR126" t="s">
        <v>179</v>
      </c>
      <c r="AS126" t="s">
        <v>179</v>
      </c>
      <c r="AT126" t="s">
        <v>179</v>
      </c>
      <c r="AU126" t="s">
        <v>179</v>
      </c>
      <c r="AV126" t="s">
        <v>179</v>
      </c>
      <c r="AW126" t="s">
        <v>179</v>
      </c>
      <c r="AX126" t="s">
        <v>179</v>
      </c>
    </row>
    <row r="127" spans="1:50" x14ac:dyDescent="0.2">
      <c r="A127" t="s">
        <v>225</v>
      </c>
      <c r="B127">
        <v>671</v>
      </c>
      <c r="C127" t="s">
        <v>103</v>
      </c>
      <c r="D127">
        <v>0.5573778739559605</v>
      </c>
      <c r="E127">
        <v>0.54177344951307016</v>
      </c>
      <c r="F127" t="s">
        <v>179</v>
      </c>
      <c r="G127" t="s">
        <v>179</v>
      </c>
      <c r="H127">
        <v>0.5573778739559605</v>
      </c>
      <c r="I127">
        <v>0.51349099131936127</v>
      </c>
      <c r="J127">
        <v>0.53987701060540894</v>
      </c>
      <c r="K127">
        <v>0.56367769418377212</v>
      </c>
      <c r="L127">
        <v>0.55586454188169365</v>
      </c>
      <c r="M127">
        <v>0.54992968090717298</v>
      </c>
      <c r="N127">
        <v>0.58132597435916988</v>
      </c>
      <c r="O127">
        <v>0.58720115499098491</v>
      </c>
      <c r="P127">
        <v>0.56889271414174503</v>
      </c>
      <c r="Q127">
        <v>0.5658719652490366</v>
      </c>
      <c r="R127">
        <v>0.52991954953412068</v>
      </c>
      <c r="S127">
        <v>0.52478228182323516</v>
      </c>
      <c r="T127">
        <v>0.5662764699874181</v>
      </c>
      <c r="U127">
        <v>0.57594345912788369</v>
      </c>
      <c r="V127">
        <v>0.54177344951307016</v>
      </c>
      <c r="W127" t="s">
        <v>179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 x14ac:dyDescent="0.2">
      <c r="A128" t="s">
        <v>224</v>
      </c>
      <c r="B128">
        <v>671</v>
      </c>
      <c r="C128" t="s">
        <v>136</v>
      </c>
      <c r="D128">
        <v>0.54950465202141408</v>
      </c>
      <c r="E128">
        <v>0.51475581951308136</v>
      </c>
      <c r="F128" t="s">
        <v>179</v>
      </c>
      <c r="G128">
        <v>6</v>
      </c>
      <c r="H128">
        <v>0.54950465202141408</v>
      </c>
      <c r="I128">
        <v>0.5649914046391753</v>
      </c>
      <c r="J128">
        <v>0.53547563509054841</v>
      </c>
      <c r="K128">
        <v>0.52751634509009993</v>
      </c>
      <c r="L128">
        <v>0.51275477168638817</v>
      </c>
      <c r="M128">
        <v>0.51475581951308136</v>
      </c>
      <c r="N128" t="s">
        <v>179</v>
      </c>
      <c r="O128" t="s">
        <v>179</v>
      </c>
      <c r="P128" t="s">
        <v>179</v>
      </c>
      <c r="Q128" t="s">
        <v>179</v>
      </c>
      <c r="R128" t="s">
        <v>179</v>
      </c>
      <c r="S128" t="s">
        <v>179</v>
      </c>
      <c r="T128" t="s">
        <v>179</v>
      </c>
      <c r="U128" t="s">
        <v>179</v>
      </c>
      <c r="V128" t="s">
        <v>179</v>
      </c>
      <c r="W128" t="s">
        <v>179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 t="s">
        <v>179</v>
      </c>
      <c r="AN128" t="s">
        <v>179</v>
      </c>
      <c r="AO128" t="s">
        <v>179</v>
      </c>
      <c r="AP128" t="s">
        <v>179</v>
      </c>
      <c r="AQ128" t="s">
        <v>179</v>
      </c>
      <c r="AR128" t="s">
        <v>179</v>
      </c>
      <c r="AS128" t="s">
        <v>179</v>
      </c>
      <c r="AT128" t="s">
        <v>179</v>
      </c>
      <c r="AU128" t="s">
        <v>179</v>
      </c>
      <c r="AV128" t="s">
        <v>179</v>
      </c>
      <c r="AW128" t="s">
        <v>179</v>
      </c>
      <c r="AX128" t="s">
        <v>179</v>
      </c>
    </row>
    <row r="129" spans="1:50" x14ac:dyDescent="0.2">
      <c r="A129" t="s">
        <v>224</v>
      </c>
      <c r="B129">
        <v>672</v>
      </c>
      <c r="C129" t="s">
        <v>16</v>
      </c>
      <c r="D129">
        <v>0.55832872472788442</v>
      </c>
      <c r="E129">
        <v>0.38561272271016317</v>
      </c>
      <c r="F129">
        <v>10</v>
      </c>
      <c r="G129" t="s">
        <v>179</v>
      </c>
      <c r="H129">
        <v>0.55832872472788442</v>
      </c>
      <c r="I129">
        <v>0.55118063731148892</v>
      </c>
      <c r="J129">
        <v>0.52638004626952006</v>
      </c>
      <c r="K129">
        <v>0.5317608080683961</v>
      </c>
      <c r="L129">
        <v>0.50614115675605198</v>
      </c>
      <c r="M129">
        <v>0.5039552198458549</v>
      </c>
      <c r="N129">
        <v>0.50912010157806642</v>
      </c>
      <c r="O129">
        <v>0.50706602984576021</v>
      </c>
      <c r="P129">
        <v>0.47567004293520682</v>
      </c>
      <c r="Q129">
        <v>0.45350327736192597</v>
      </c>
      <c r="R129">
        <v>0.38561272271016317</v>
      </c>
      <c r="S129" t="s">
        <v>179</v>
      </c>
      <c r="T129" t="s">
        <v>179</v>
      </c>
      <c r="U129" t="s">
        <v>179</v>
      </c>
      <c r="V129" t="s">
        <v>179</v>
      </c>
      <c r="W129" t="s">
        <v>179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 t="s">
        <v>179</v>
      </c>
      <c r="AJ129" t="s">
        <v>179</v>
      </c>
      <c r="AK129" t="s">
        <v>179</v>
      </c>
      <c r="AL129" t="s">
        <v>179</v>
      </c>
      <c r="AM129">
        <v>0</v>
      </c>
      <c r="AN129">
        <v>0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</row>
    <row r="130" spans="1:50" x14ac:dyDescent="0.2">
      <c r="A130" t="s">
        <v>225</v>
      </c>
      <c r="B130">
        <v>672</v>
      </c>
      <c r="C130" t="s">
        <v>82</v>
      </c>
      <c r="D130">
        <v>0.57320202327663383</v>
      </c>
      <c r="E130">
        <v>0.57809389716949067</v>
      </c>
      <c r="F130" t="s">
        <v>179</v>
      </c>
      <c r="G130" t="s">
        <v>179</v>
      </c>
      <c r="H130">
        <v>0.57320202327663383</v>
      </c>
      <c r="I130">
        <v>0.56440421465681334</v>
      </c>
      <c r="J130">
        <v>0.55462184873949583</v>
      </c>
      <c r="K130">
        <v>0.56400911360360306</v>
      </c>
      <c r="L130">
        <v>0.54151718920605207</v>
      </c>
      <c r="M130">
        <v>0.54905514133603484</v>
      </c>
      <c r="N130">
        <v>0.57253099615193137</v>
      </c>
      <c r="O130">
        <v>0.57986126662674553</v>
      </c>
      <c r="P130">
        <v>0.57592457380249329</v>
      </c>
      <c r="Q130">
        <v>0.57725332624869563</v>
      </c>
      <c r="R130">
        <v>0.57226246515663604</v>
      </c>
      <c r="S130">
        <v>0.58332566217297477</v>
      </c>
      <c r="T130">
        <v>0.57590512739673683</v>
      </c>
      <c r="U130">
        <v>0.59134766413858098</v>
      </c>
      <c r="V130">
        <v>0.57809389716949067</v>
      </c>
      <c r="W130" t="s">
        <v>179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 x14ac:dyDescent="0.2">
      <c r="A131" t="s">
        <v>224</v>
      </c>
      <c r="B131">
        <v>673</v>
      </c>
      <c r="C131" t="s">
        <v>5</v>
      </c>
      <c r="D131">
        <v>0.56331220208279342</v>
      </c>
      <c r="E131">
        <v>0.38431452559174589</v>
      </c>
      <c r="F131">
        <v>7</v>
      </c>
      <c r="G131" t="s">
        <v>179</v>
      </c>
      <c r="H131">
        <v>0.56331220208279342</v>
      </c>
      <c r="I131">
        <v>0.5753006735894225</v>
      </c>
      <c r="J131">
        <v>0.5367694956374619</v>
      </c>
      <c r="K131">
        <v>0.55611373241044593</v>
      </c>
      <c r="L131">
        <v>0.49587538814430809</v>
      </c>
      <c r="M131">
        <v>0.50537395950892983</v>
      </c>
      <c r="N131">
        <v>0.47037241026472537</v>
      </c>
      <c r="O131">
        <v>0.38431452559174589</v>
      </c>
      <c r="P131" t="s">
        <v>179</v>
      </c>
      <c r="Q131" t="s">
        <v>179</v>
      </c>
      <c r="R131" t="s">
        <v>179</v>
      </c>
      <c r="S131" t="s">
        <v>179</v>
      </c>
      <c r="T131" t="s">
        <v>179</v>
      </c>
      <c r="U131" t="s">
        <v>179</v>
      </c>
      <c r="V131" t="s">
        <v>179</v>
      </c>
      <c r="W131">
        <v>0.44458821738468568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179</v>
      </c>
      <c r="AG131" t="s">
        <v>179</v>
      </c>
      <c r="AH131" t="s">
        <v>179</v>
      </c>
      <c r="AI131" t="s">
        <v>179</v>
      </c>
      <c r="AJ131" t="s">
        <v>179</v>
      </c>
      <c r="AK131" t="s">
        <v>179</v>
      </c>
      <c r="AL131" t="s">
        <v>179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 x14ac:dyDescent="0.2">
      <c r="A132" t="s">
        <v>225</v>
      </c>
      <c r="B132">
        <v>673</v>
      </c>
      <c r="C132" t="s">
        <v>108</v>
      </c>
      <c r="D132">
        <v>0.57341736237351848</v>
      </c>
      <c r="E132">
        <v>0.55126168396940922</v>
      </c>
      <c r="F132" t="s">
        <v>179</v>
      </c>
      <c r="G132" t="s">
        <v>179</v>
      </c>
      <c r="H132">
        <v>0.57341736237351848</v>
      </c>
      <c r="I132">
        <v>0.57704842767896769</v>
      </c>
      <c r="J132">
        <v>0.57116673419186803</v>
      </c>
      <c r="K132">
        <v>0.55528210198618089</v>
      </c>
      <c r="L132">
        <v>0.56590425555311197</v>
      </c>
      <c r="M132">
        <v>0.57099999999999995</v>
      </c>
      <c r="N132">
        <v>0.58048251105422388</v>
      </c>
      <c r="O132">
        <v>0.58574801733983584</v>
      </c>
      <c r="P132">
        <v>0.54589040912929254</v>
      </c>
      <c r="Q132">
        <v>0.4967789398122584</v>
      </c>
      <c r="R132">
        <v>0.521914515351106</v>
      </c>
      <c r="S132">
        <v>0.54</v>
      </c>
      <c r="T132">
        <v>0.56499999999999995</v>
      </c>
      <c r="U132">
        <v>0.57040470672134069</v>
      </c>
      <c r="V132">
        <v>0.55126168396940922</v>
      </c>
      <c r="W132">
        <v>0.52364933741080522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 x14ac:dyDescent="0.2">
      <c r="A133" t="s">
        <v>224</v>
      </c>
      <c r="B133">
        <v>673</v>
      </c>
      <c r="C133" t="s">
        <v>152</v>
      </c>
      <c r="D133">
        <v>0.55594810987106158</v>
      </c>
      <c r="E133">
        <v>0.27865308155699714</v>
      </c>
      <c r="F133">
        <v>8</v>
      </c>
      <c r="G133" t="s">
        <v>179</v>
      </c>
      <c r="H133">
        <v>0.55594810987106158</v>
      </c>
      <c r="I133">
        <v>0.55861736040609133</v>
      </c>
      <c r="J133">
        <v>0.53968719941348975</v>
      </c>
      <c r="K133">
        <v>0.52467280430711372</v>
      </c>
      <c r="L133">
        <v>0.52341523008008684</v>
      </c>
      <c r="M133">
        <v>0.50999370437564728</v>
      </c>
      <c r="N133">
        <v>0.4778259659119643</v>
      </c>
      <c r="O133">
        <v>0.47079289507416233</v>
      </c>
      <c r="P133">
        <v>0.27865308155699714</v>
      </c>
      <c r="Q133" t="s">
        <v>179</v>
      </c>
      <c r="R133" t="s">
        <v>179</v>
      </c>
      <c r="S133" t="s">
        <v>179</v>
      </c>
      <c r="T133" t="s">
        <v>179</v>
      </c>
      <c r="U133" t="s">
        <v>179</v>
      </c>
      <c r="V133" t="s">
        <v>179</v>
      </c>
      <c r="W133" t="s">
        <v>179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179</v>
      </c>
      <c r="AH133" t="s">
        <v>179</v>
      </c>
      <c r="AI133" t="s">
        <v>179</v>
      </c>
      <c r="AJ133" t="s">
        <v>179</v>
      </c>
      <c r="AK133" t="s">
        <v>179</v>
      </c>
      <c r="AL133" t="s">
        <v>179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</row>
    <row r="134" spans="1:50" x14ac:dyDescent="0.2">
      <c r="A134" t="s">
        <v>224</v>
      </c>
      <c r="B134">
        <v>674</v>
      </c>
      <c r="C134" t="s">
        <v>14</v>
      </c>
      <c r="D134">
        <v>0.51243094815979495</v>
      </c>
      <c r="E134">
        <v>0.31143151390319257</v>
      </c>
      <c r="F134">
        <v>10</v>
      </c>
      <c r="G134" t="s">
        <v>179</v>
      </c>
      <c r="H134">
        <v>0.51243094815979495</v>
      </c>
      <c r="I134">
        <v>0.51988636647665198</v>
      </c>
      <c r="J134">
        <v>0.49221622436639878</v>
      </c>
      <c r="K134">
        <v>0.494015887792492</v>
      </c>
      <c r="L134">
        <v>0.45705106526885358</v>
      </c>
      <c r="M134">
        <v>0.47943873298138373</v>
      </c>
      <c r="N134">
        <v>0.49864288483908492</v>
      </c>
      <c r="O134">
        <v>0.49461555404478674</v>
      </c>
      <c r="P134">
        <v>0.46791846800563541</v>
      </c>
      <c r="Q134">
        <v>0.41721892065924748</v>
      </c>
      <c r="R134">
        <v>0.31143151390319257</v>
      </c>
      <c r="S134" t="s">
        <v>179</v>
      </c>
      <c r="T134" t="s">
        <v>179</v>
      </c>
      <c r="U134" t="s">
        <v>179</v>
      </c>
      <c r="V134" t="s">
        <v>179</v>
      </c>
      <c r="W134" t="s">
        <v>179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179</v>
      </c>
      <c r="AJ134" t="s">
        <v>179</v>
      </c>
      <c r="AK134" t="s">
        <v>179</v>
      </c>
      <c r="AL134" t="s">
        <v>179</v>
      </c>
      <c r="AM134">
        <v>0</v>
      </c>
      <c r="AN134">
        <v>0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</row>
    <row r="135" spans="1:50" x14ac:dyDescent="0.2">
      <c r="A135" t="s">
        <v>225</v>
      </c>
      <c r="B135">
        <v>674</v>
      </c>
      <c r="C135" t="s">
        <v>105</v>
      </c>
      <c r="D135">
        <v>0.54286324040320677</v>
      </c>
      <c r="E135">
        <v>0.57711793471078021</v>
      </c>
      <c r="F135" t="s">
        <v>179</v>
      </c>
      <c r="G135" t="s">
        <v>179</v>
      </c>
      <c r="H135">
        <v>0.54286324040320677</v>
      </c>
      <c r="I135">
        <v>0.5115378573468895</v>
      </c>
      <c r="J135">
        <v>0.56040098138124927</v>
      </c>
      <c r="K135">
        <v>0.55542741819230212</v>
      </c>
      <c r="L135">
        <v>0.53661735649341835</v>
      </c>
      <c r="M135">
        <v>0.55373956543675418</v>
      </c>
      <c r="N135">
        <v>0.56869386997902893</v>
      </c>
      <c r="O135">
        <v>0.57339906578600275</v>
      </c>
      <c r="P135">
        <v>0.57475994513031547</v>
      </c>
      <c r="Q135">
        <v>0.57235487288258025</v>
      </c>
      <c r="R135">
        <v>0.55144303527247451</v>
      </c>
      <c r="S135">
        <v>0.57707596918252668</v>
      </c>
      <c r="T135">
        <v>0.58552140124026919</v>
      </c>
      <c r="U135">
        <v>0.5958656759785812</v>
      </c>
      <c r="V135">
        <v>0.57711793471078021</v>
      </c>
      <c r="W135" t="s">
        <v>179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 x14ac:dyDescent="0.2">
      <c r="A136" t="s">
        <v>224</v>
      </c>
      <c r="B136">
        <v>674</v>
      </c>
      <c r="C136" t="s">
        <v>150</v>
      </c>
      <c r="D136">
        <v>0.50463570004381286</v>
      </c>
      <c r="E136">
        <v>0.30894848187034318</v>
      </c>
      <c r="F136">
        <v>10</v>
      </c>
      <c r="G136" t="s">
        <v>179</v>
      </c>
      <c r="H136">
        <v>0.50463570004381286</v>
      </c>
      <c r="I136">
        <v>0.51114833816001071</v>
      </c>
      <c r="J136">
        <v>0.4791025328855304</v>
      </c>
      <c r="K136">
        <v>0.48571947372509083</v>
      </c>
      <c r="L136">
        <v>0.47697101056624219</v>
      </c>
      <c r="M136">
        <v>0.48064114856869344</v>
      </c>
      <c r="N136">
        <v>0.48254628198805111</v>
      </c>
      <c r="O136">
        <v>0.51039632395175183</v>
      </c>
      <c r="P136">
        <v>0.44015909706757644</v>
      </c>
      <c r="Q136">
        <v>0.38101437398986859</v>
      </c>
      <c r="R136">
        <v>0.30894848187034318</v>
      </c>
      <c r="S136" t="s">
        <v>179</v>
      </c>
      <c r="T136" t="s">
        <v>179</v>
      </c>
      <c r="U136" t="s">
        <v>179</v>
      </c>
      <c r="V136" t="s">
        <v>179</v>
      </c>
      <c r="W136" t="s">
        <v>179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179</v>
      </c>
      <c r="AJ136" t="s">
        <v>179</v>
      </c>
      <c r="AK136" t="s">
        <v>179</v>
      </c>
      <c r="AL136" t="s">
        <v>179</v>
      </c>
      <c r="AM136">
        <v>0</v>
      </c>
      <c r="AN136">
        <v>0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</row>
    <row r="137" spans="1:50" x14ac:dyDescent="0.2">
      <c r="A137" t="s">
        <v>224</v>
      </c>
      <c r="B137">
        <v>675</v>
      </c>
      <c r="C137" t="s">
        <v>15</v>
      </c>
      <c r="D137">
        <v>0.54073864465489396</v>
      </c>
      <c r="E137">
        <v>0.33733333300000001</v>
      </c>
      <c r="F137">
        <v>7</v>
      </c>
      <c r="G137" t="s">
        <v>179</v>
      </c>
      <c r="H137">
        <v>0.54073864465489396</v>
      </c>
      <c r="I137">
        <v>0.54321855966660693</v>
      </c>
      <c r="J137">
        <v>0.51743108061153575</v>
      </c>
      <c r="K137">
        <v>0.52490904426432672</v>
      </c>
      <c r="L137">
        <v>0.50735682242990654</v>
      </c>
      <c r="M137">
        <v>0.50530596548646234</v>
      </c>
      <c r="N137">
        <v>0.49910390167544727</v>
      </c>
      <c r="O137">
        <v>0.33733333300000001</v>
      </c>
      <c r="P137" t="s">
        <v>179</v>
      </c>
      <c r="Q137" t="s">
        <v>179</v>
      </c>
      <c r="R137" t="s">
        <v>179</v>
      </c>
      <c r="S137" t="s">
        <v>179</v>
      </c>
      <c r="T137" t="s">
        <v>179</v>
      </c>
      <c r="U137" t="s">
        <v>179</v>
      </c>
      <c r="V137" t="s">
        <v>179</v>
      </c>
      <c r="W137" t="s">
        <v>179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179</v>
      </c>
      <c r="AG137" t="s">
        <v>179</v>
      </c>
      <c r="AH137" t="s">
        <v>179</v>
      </c>
      <c r="AI137" t="s">
        <v>179</v>
      </c>
      <c r="AJ137" t="s">
        <v>179</v>
      </c>
      <c r="AK137" t="s">
        <v>179</v>
      </c>
      <c r="AL137" t="s">
        <v>179</v>
      </c>
      <c r="AM137">
        <v>0</v>
      </c>
      <c r="AN137">
        <v>0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</row>
    <row r="138" spans="1:50" x14ac:dyDescent="0.2">
      <c r="A138" t="s">
        <v>225</v>
      </c>
      <c r="B138">
        <v>675</v>
      </c>
      <c r="C138" t="s">
        <v>104</v>
      </c>
      <c r="D138">
        <v>0.58978627746636381</v>
      </c>
      <c r="E138">
        <v>0.55050462216945129</v>
      </c>
      <c r="F138" t="s">
        <v>179</v>
      </c>
      <c r="G138" t="s">
        <v>179</v>
      </c>
      <c r="H138">
        <v>0.58978627746636381</v>
      </c>
      <c r="I138">
        <v>0.5314040387979011</v>
      </c>
      <c r="J138">
        <v>0.56455427657973012</v>
      </c>
      <c r="K138">
        <v>0.5698628885825151</v>
      </c>
      <c r="L138">
        <v>0.5495113042324532</v>
      </c>
      <c r="M138">
        <v>0.54910329798241075</v>
      </c>
      <c r="N138">
        <v>0.56433564311066098</v>
      </c>
      <c r="O138">
        <v>0.58443374015677441</v>
      </c>
      <c r="P138">
        <v>0.56173566229933636</v>
      </c>
      <c r="Q138">
        <v>0.54002189940863921</v>
      </c>
      <c r="R138">
        <v>0.52390565970493874</v>
      </c>
      <c r="S138">
        <v>0.55736959346379444</v>
      </c>
      <c r="T138">
        <v>0.57138195056289776</v>
      </c>
      <c r="U138">
        <v>0.5780809891356038</v>
      </c>
      <c r="V138">
        <v>0.55050462216945129</v>
      </c>
      <c r="W138" t="s">
        <v>179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 x14ac:dyDescent="0.2">
      <c r="A139" t="s">
        <v>224</v>
      </c>
      <c r="B139">
        <v>675</v>
      </c>
      <c r="C139" t="s">
        <v>147</v>
      </c>
      <c r="D139">
        <v>0.5681900500398015</v>
      </c>
      <c r="E139">
        <v>0.36887626257168221</v>
      </c>
      <c r="F139">
        <v>7</v>
      </c>
      <c r="G139" t="s">
        <v>179</v>
      </c>
      <c r="H139">
        <v>0.5681900500398015</v>
      </c>
      <c r="I139">
        <v>0.55986429138135174</v>
      </c>
      <c r="J139">
        <v>0.52454041043425281</v>
      </c>
      <c r="K139">
        <v>0.52973322061216344</v>
      </c>
      <c r="L139">
        <v>0.51925890040006606</v>
      </c>
      <c r="M139">
        <v>0.52226863953359692</v>
      </c>
      <c r="N139">
        <v>0.50843865263579846</v>
      </c>
      <c r="O139">
        <v>0.36887626257168221</v>
      </c>
      <c r="P139" t="s">
        <v>179</v>
      </c>
      <c r="Q139" t="s">
        <v>179</v>
      </c>
      <c r="R139" t="s">
        <v>179</v>
      </c>
      <c r="S139" t="s">
        <v>179</v>
      </c>
      <c r="T139" t="s">
        <v>179</v>
      </c>
      <c r="U139" t="s">
        <v>179</v>
      </c>
      <c r="V139" t="s">
        <v>179</v>
      </c>
      <c r="W139" t="s">
        <v>179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179</v>
      </c>
      <c r="AG139" t="s">
        <v>179</v>
      </c>
      <c r="AH139" t="s">
        <v>179</v>
      </c>
      <c r="AI139" t="s">
        <v>179</v>
      </c>
      <c r="AJ139" t="s">
        <v>179</v>
      </c>
      <c r="AK139" t="s">
        <v>179</v>
      </c>
      <c r="AL139" t="s">
        <v>179</v>
      </c>
      <c r="AM139">
        <v>0</v>
      </c>
      <c r="AN139">
        <v>0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</row>
    <row r="140" spans="1:50" x14ac:dyDescent="0.2">
      <c r="A140" t="s">
        <v>224</v>
      </c>
      <c r="B140">
        <v>751</v>
      </c>
      <c r="C140" t="s">
        <v>6</v>
      </c>
      <c r="D140">
        <v>0.4872264745084971</v>
      </c>
      <c r="E140">
        <v>0.37837837837837834</v>
      </c>
      <c r="F140" t="s">
        <v>179</v>
      </c>
      <c r="G140">
        <v>13</v>
      </c>
      <c r="H140">
        <v>0.4872264745084971</v>
      </c>
      <c r="I140">
        <v>0.50853784508561017</v>
      </c>
      <c r="J140">
        <v>0.46556562500000004</v>
      </c>
      <c r="K140">
        <v>0.46841764498501681</v>
      </c>
      <c r="L140">
        <v>0.4511111162790698</v>
      </c>
      <c r="M140">
        <v>0.47469307437043917</v>
      </c>
      <c r="N140">
        <v>0.49228831782004584</v>
      </c>
      <c r="O140">
        <v>0.48667296130107235</v>
      </c>
      <c r="P140">
        <v>0.46867415912373911</v>
      </c>
      <c r="Q140">
        <v>0.39974936773752567</v>
      </c>
      <c r="R140">
        <v>0.36546752223120454</v>
      </c>
      <c r="S140">
        <v>0.37608281180382608</v>
      </c>
      <c r="T140">
        <v>0.37837837837837834</v>
      </c>
      <c r="U140" t="s">
        <v>179</v>
      </c>
      <c r="V140" t="s">
        <v>179</v>
      </c>
      <c r="W140" t="s">
        <v>179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  <c r="AM140" t="s">
        <v>179</v>
      </c>
      <c r="AN140" t="s">
        <v>179</v>
      </c>
      <c r="AO140" t="s">
        <v>179</v>
      </c>
      <c r="AP140" t="s">
        <v>179</v>
      </c>
      <c r="AQ140" t="s">
        <v>179</v>
      </c>
      <c r="AR140" t="s">
        <v>179</v>
      </c>
      <c r="AS140" t="s">
        <v>179</v>
      </c>
      <c r="AT140" t="s">
        <v>179</v>
      </c>
      <c r="AU140" t="s">
        <v>179</v>
      </c>
      <c r="AV140" t="s">
        <v>179</v>
      </c>
      <c r="AW140" t="s">
        <v>179</v>
      </c>
      <c r="AX140" t="s">
        <v>179</v>
      </c>
    </row>
    <row r="141" spans="1:50" x14ac:dyDescent="0.2">
      <c r="A141" t="s">
        <v>225</v>
      </c>
      <c r="B141">
        <v>751</v>
      </c>
      <c r="C141" t="s">
        <v>106</v>
      </c>
      <c r="D141">
        <v>0.53923955796965728</v>
      </c>
      <c r="E141">
        <v>0.55659346119447473</v>
      </c>
      <c r="F141" t="s">
        <v>179</v>
      </c>
      <c r="G141" t="s">
        <v>179</v>
      </c>
      <c r="H141">
        <v>0.53923955796965728</v>
      </c>
      <c r="I141">
        <v>0.55213685175936789</v>
      </c>
      <c r="J141">
        <v>0.55045984334482012</v>
      </c>
      <c r="K141">
        <v>0.56240231748158076</v>
      </c>
      <c r="L141">
        <v>0.55844094173325887</v>
      </c>
      <c r="M141">
        <v>0.55824960663760437</v>
      </c>
      <c r="N141">
        <v>0.56955330328432008</v>
      </c>
      <c r="O141">
        <v>0.57647392516229856</v>
      </c>
      <c r="P141">
        <v>0.56556016597510372</v>
      </c>
      <c r="Q141">
        <v>0.56250579379353027</v>
      </c>
      <c r="R141">
        <v>0.56566335785128363</v>
      </c>
      <c r="S141">
        <v>0.55493919114598167</v>
      </c>
      <c r="T141">
        <v>0.57896082255215386</v>
      </c>
      <c r="U141">
        <v>0.58985841588637089</v>
      </c>
      <c r="V141">
        <v>0.55659346119447473</v>
      </c>
      <c r="W141" t="s">
        <v>179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 x14ac:dyDescent="0.2">
      <c r="A142" t="s">
        <v>224</v>
      </c>
      <c r="B142">
        <v>751</v>
      </c>
      <c r="C142" t="s">
        <v>151</v>
      </c>
      <c r="D142">
        <v>0.50099350733043346</v>
      </c>
      <c r="E142">
        <v>0.35033333333333333</v>
      </c>
      <c r="F142">
        <v>12</v>
      </c>
      <c r="G142" t="s">
        <v>179</v>
      </c>
      <c r="H142">
        <v>0.50099350733043346</v>
      </c>
      <c r="I142">
        <v>0.49063429885711446</v>
      </c>
      <c r="J142">
        <v>0.47933333333333333</v>
      </c>
      <c r="K142">
        <v>0.47099999999999992</v>
      </c>
      <c r="L142">
        <v>0.46100000000000002</v>
      </c>
      <c r="M142">
        <v>0.46606470158363872</v>
      </c>
      <c r="N142">
        <v>0.47700000000000004</v>
      </c>
      <c r="O142">
        <v>0.46701712537299844</v>
      </c>
      <c r="P142">
        <v>0.45896989506435776</v>
      </c>
      <c r="Q142">
        <v>0.42757074490092883</v>
      </c>
      <c r="R142">
        <v>0.4088002882538927</v>
      </c>
      <c r="S142">
        <v>0.38900000000000001</v>
      </c>
      <c r="T142">
        <v>0.35033333333333333</v>
      </c>
      <c r="U142" t="s">
        <v>179</v>
      </c>
      <c r="V142" t="s">
        <v>179</v>
      </c>
      <c r="W142" t="s">
        <v>179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t="s">
        <v>179</v>
      </c>
      <c r="AL142" t="s">
        <v>179</v>
      </c>
      <c r="AM142">
        <v>0</v>
      </c>
      <c r="AN142">
        <v>0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</row>
    <row r="143" spans="1:50" x14ac:dyDescent="0.2">
      <c r="A143" t="s">
        <v>224</v>
      </c>
      <c r="B143">
        <v>752</v>
      </c>
      <c r="C143" t="s">
        <v>4</v>
      </c>
      <c r="D143">
        <v>0.57374403891563264</v>
      </c>
      <c r="E143">
        <v>0.13400000000000001</v>
      </c>
      <c r="F143">
        <v>8</v>
      </c>
      <c r="G143" t="s">
        <v>179</v>
      </c>
      <c r="H143">
        <v>0.57374403891563264</v>
      </c>
      <c r="I143">
        <v>0.56547342321400895</v>
      </c>
      <c r="J143">
        <v>0.53475006605657027</v>
      </c>
      <c r="K143">
        <v>0.56197964847363546</v>
      </c>
      <c r="L143">
        <v>0.52754002855935933</v>
      </c>
      <c r="M143">
        <v>0.52582795524801063</v>
      </c>
      <c r="N143">
        <v>0.54065291037881114</v>
      </c>
      <c r="O143">
        <v>0.50811526995693945</v>
      </c>
      <c r="P143">
        <v>0.13400000000000001</v>
      </c>
      <c r="Q143" t="s">
        <v>179</v>
      </c>
      <c r="R143" t="s">
        <v>179</v>
      </c>
      <c r="S143" t="s">
        <v>179</v>
      </c>
      <c r="T143" t="s">
        <v>179</v>
      </c>
      <c r="U143" t="s">
        <v>179</v>
      </c>
      <c r="V143" t="s">
        <v>179</v>
      </c>
      <c r="W143" t="s">
        <v>179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179</v>
      </c>
      <c r="AH143" t="s">
        <v>179</v>
      </c>
      <c r="AI143" t="s">
        <v>179</v>
      </c>
      <c r="AJ143" t="s">
        <v>179</v>
      </c>
      <c r="AK143" t="s">
        <v>179</v>
      </c>
      <c r="AL143" t="s">
        <v>179</v>
      </c>
      <c r="AM143">
        <v>0</v>
      </c>
      <c r="AN143">
        <v>0</v>
      </c>
      <c r="AO143">
        <v>0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</row>
    <row r="144" spans="1:50" x14ac:dyDescent="0.2">
      <c r="A144" t="s">
        <v>225</v>
      </c>
      <c r="B144">
        <v>752</v>
      </c>
      <c r="C144" t="s">
        <v>109</v>
      </c>
      <c r="D144">
        <v>0.56396559203575969</v>
      </c>
      <c r="E144">
        <v>0.58355028019238409</v>
      </c>
      <c r="F144" t="s">
        <v>179</v>
      </c>
      <c r="G144" t="s">
        <v>179</v>
      </c>
      <c r="H144">
        <v>0.56396559203575969</v>
      </c>
      <c r="I144">
        <v>0.56335456095569025</v>
      </c>
      <c r="J144">
        <v>0.5540329712566846</v>
      </c>
      <c r="K144">
        <v>0.56843817412641917</v>
      </c>
      <c r="L144">
        <v>0.53297194292515959</v>
      </c>
      <c r="M144">
        <v>0.56977351773312535</v>
      </c>
      <c r="N144">
        <v>0.59244222179192574</v>
      </c>
      <c r="O144">
        <v>0.59308851915683414</v>
      </c>
      <c r="P144">
        <v>0.57383709403062355</v>
      </c>
      <c r="Q144">
        <v>0.5770767462005858</v>
      </c>
      <c r="R144">
        <v>0.57271370836438806</v>
      </c>
      <c r="S144">
        <v>0.5377327993447476</v>
      </c>
      <c r="T144">
        <v>0.58771229064791353</v>
      </c>
      <c r="U144">
        <v>0.58583143507972657</v>
      </c>
      <c r="V144">
        <v>0.58355028019238409</v>
      </c>
      <c r="W144" t="s">
        <v>179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 x14ac:dyDescent="0.2">
      <c r="A145" t="s">
        <v>224</v>
      </c>
      <c r="B145">
        <v>752</v>
      </c>
      <c r="C145" t="s">
        <v>153</v>
      </c>
      <c r="D145">
        <v>0.55060913441084558</v>
      </c>
      <c r="E145">
        <v>0.35966666666666663</v>
      </c>
      <c r="F145">
        <v>8</v>
      </c>
      <c r="G145" t="s">
        <v>179</v>
      </c>
      <c r="H145">
        <v>0.55060913441084558</v>
      </c>
      <c r="I145">
        <v>0.53400761095848748</v>
      </c>
      <c r="J145">
        <v>0.50336119324037409</v>
      </c>
      <c r="K145">
        <v>0.53381364274139698</v>
      </c>
      <c r="L145">
        <v>0.5096843439566916</v>
      </c>
      <c r="M145">
        <v>0.51187358696105456</v>
      </c>
      <c r="N145">
        <v>0.51274041450872232</v>
      </c>
      <c r="O145">
        <v>0.40300223352097331</v>
      </c>
      <c r="P145">
        <v>0.35966666666666663</v>
      </c>
      <c r="Q145" t="s">
        <v>179</v>
      </c>
      <c r="R145" t="s">
        <v>179</v>
      </c>
      <c r="S145" t="s">
        <v>179</v>
      </c>
      <c r="T145" t="s">
        <v>179</v>
      </c>
      <c r="U145" t="s">
        <v>179</v>
      </c>
      <c r="V145" t="s">
        <v>179</v>
      </c>
      <c r="W145" t="s">
        <v>179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179</v>
      </c>
      <c r="AH145" t="s">
        <v>179</v>
      </c>
      <c r="AI145" t="s">
        <v>179</v>
      </c>
      <c r="AJ145" t="s">
        <v>179</v>
      </c>
      <c r="AK145" t="s">
        <v>179</v>
      </c>
      <c r="AL145" t="s">
        <v>179</v>
      </c>
      <c r="AM145">
        <v>0</v>
      </c>
      <c r="AN145">
        <v>0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</row>
    <row r="146" spans="1:50" x14ac:dyDescent="0.2">
      <c r="A146" t="s">
        <v>225</v>
      </c>
      <c r="B146">
        <v>753</v>
      </c>
      <c r="C146" t="s">
        <v>66</v>
      </c>
      <c r="D146">
        <v>0.53949123732608251</v>
      </c>
      <c r="E146">
        <v>0.58180337879096278</v>
      </c>
      <c r="F146" t="s">
        <v>179</v>
      </c>
      <c r="G146" t="s">
        <v>179</v>
      </c>
      <c r="H146">
        <v>0.53949123732608251</v>
      </c>
      <c r="I146">
        <v>0.53459034183396636</v>
      </c>
      <c r="J146">
        <v>0.54318924050632911</v>
      </c>
      <c r="K146">
        <v>0.52902859347281372</v>
      </c>
      <c r="L146">
        <v>0.50746335132524423</v>
      </c>
      <c r="M146">
        <v>0.53342600783520788</v>
      </c>
      <c r="N146">
        <v>0.54408500237868695</v>
      </c>
      <c r="O146">
        <v>0.54363962728551329</v>
      </c>
      <c r="P146">
        <v>0.52605751307945003</v>
      </c>
      <c r="Q146">
        <v>0.55826363184247196</v>
      </c>
      <c r="R146">
        <v>0.57274976849572157</v>
      </c>
      <c r="S146">
        <v>0.54912935323383094</v>
      </c>
      <c r="T146">
        <v>0.59166666666666667</v>
      </c>
      <c r="U146">
        <v>0.60333333333333339</v>
      </c>
      <c r="V146">
        <v>0.58180337879096278</v>
      </c>
      <c r="W146">
        <v>0.56708569550571031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 x14ac:dyDescent="0.2">
      <c r="A147" t="s">
        <v>224</v>
      </c>
      <c r="B147">
        <v>753</v>
      </c>
      <c r="C147" t="s">
        <v>140</v>
      </c>
      <c r="D147">
        <v>0.57469704035532221</v>
      </c>
      <c r="E147">
        <v>0.39727262767468091</v>
      </c>
      <c r="F147">
        <v>8</v>
      </c>
      <c r="G147" t="s">
        <v>179</v>
      </c>
      <c r="H147">
        <v>0.57469704035532221</v>
      </c>
      <c r="I147">
        <v>0.56741629685157424</v>
      </c>
      <c r="J147">
        <v>0.54615926708949969</v>
      </c>
      <c r="K147">
        <v>0.54087753959817908</v>
      </c>
      <c r="L147">
        <v>0.53876947785716756</v>
      </c>
      <c r="M147">
        <v>0.51695738452300644</v>
      </c>
      <c r="N147">
        <v>0.51762532446333775</v>
      </c>
      <c r="O147">
        <v>0.51902247057651163</v>
      </c>
      <c r="P147">
        <v>0.39727262767468091</v>
      </c>
      <c r="Q147" t="s">
        <v>179</v>
      </c>
      <c r="R147" t="s">
        <v>179</v>
      </c>
      <c r="S147" t="s">
        <v>179</v>
      </c>
      <c r="T147" t="s">
        <v>179</v>
      </c>
      <c r="U147" t="s">
        <v>179</v>
      </c>
      <c r="V147" t="s">
        <v>179</v>
      </c>
      <c r="W147">
        <v>0.356280193236715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179</v>
      </c>
      <c r="AH147" t="s">
        <v>179</v>
      </c>
      <c r="AI147" t="s">
        <v>179</v>
      </c>
      <c r="AJ147" t="s">
        <v>179</v>
      </c>
      <c r="AK147" t="s">
        <v>179</v>
      </c>
      <c r="AL147" t="s">
        <v>179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 x14ac:dyDescent="0.2">
      <c r="A148" t="s">
        <v>224</v>
      </c>
      <c r="B148">
        <v>754</v>
      </c>
      <c r="C148" t="s">
        <v>0</v>
      </c>
      <c r="D148">
        <v>0.59523809523809523</v>
      </c>
      <c r="E148">
        <v>0.36833333299999999</v>
      </c>
      <c r="F148">
        <v>8</v>
      </c>
      <c r="G148" t="s">
        <v>179</v>
      </c>
      <c r="H148">
        <v>0.59523809523809523</v>
      </c>
      <c r="I148">
        <v>0.60496551724137937</v>
      </c>
      <c r="J148">
        <v>0.57827982164090364</v>
      </c>
      <c r="K148">
        <v>0.58973770246984492</v>
      </c>
      <c r="L148">
        <v>0.52908214009347054</v>
      </c>
      <c r="M148">
        <v>0.56537478038412436</v>
      </c>
      <c r="N148">
        <v>0.56036008678157334</v>
      </c>
      <c r="O148">
        <v>0.53516534926182557</v>
      </c>
      <c r="P148">
        <v>0.36833333299999999</v>
      </c>
      <c r="Q148" t="s">
        <v>179</v>
      </c>
      <c r="R148" t="s">
        <v>179</v>
      </c>
      <c r="S148" t="s">
        <v>179</v>
      </c>
      <c r="T148" t="s">
        <v>179</v>
      </c>
      <c r="U148" t="s">
        <v>179</v>
      </c>
      <c r="V148" t="s">
        <v>179</v>
      </c>
      <c r="W148" t="s">
        <v>179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179</v>
      </c>
      <c r="AH148" t="s">
        <v>179</v>
      </c>
      <c r="AI148" t="s">
        <v>179</v>
      </c>
      <c r="AJ148" t="s">
        <v>179</v>
      </c>
      <c r="AK148" t="s">
        <v>179</v>
      </c>
      <c r="AL148" t="s">
        <v>179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</row>
    <row r="149" spans="1:50" x14ac:dyDescent="0.2">
      <c r="A149" t="s">
        <v>225</v>
      </c>
      <c r="B149">
        <v>754</v>
      </c>
      <c r="C149" t="s">
        <v>94</v>
      </c>
      <c r="D149">
        <v>0.57184797388786179</v>
      </c>
      <c r="E149">
        <v>0.63062768201323727</v>
      </c>
      <c r="F149" t="s">
        <v>179</v>
      </c>
      <c r="G149" t="s">
        <v>179</v>
      </c>
      <c r="H149">
        <v>0.57184797388786179</v>
      </c>
      <c r="I149">
        <v>0.57922077922077919</v>
      </c>
      <c r="J149">
        <v>0.60479657054871228</v>
      </c>
      <c r="K149">
        <v>0.61069482478252812</v>
      </c>
      <c r="L149">
        <v>0.58216565972936174</v>
      </c>
      <c r="M149">
        <v>0.60183804021992815</v>
      </c>
      <c r="N149">
        <v>0.61805821028973418</v>
      </c>
      <c r="O149">
        <v>0.61468258352430349</v>
      </c>
      <c r="P149">
        <v>0.60940484758193914</v>
      </c>
      <c r="Q149">
        <v>0.60055792258982621</v>
      </c>
      <c r="R149">
        <v>0.61294040952495332</v>
      </c>
      <c r="S149">
        <v>0.60733959342330834</v>
      </c>
      <c r="T149">
        <v>0.61860038941701989</v>
      </c>
      <c r="U149">
        <v>0.64410043130006167</v>
      </c>
      <c r="V149">
        <v>0.63062768201323727</v>
      </c>
      <c r="W149">
        <v>0.54411888170598599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 x14ac:dyDescent="0.2">
      <c r="A150" t="s">
        <v>224</v>
      </c>
      <c r="B150">
        <v>754</v>
      </c>
      <c r="C150" t="s">
        <v>146</v>
      </c>
      <c r="D150">
        <v>0.54951593379847474</v>
      </c>
      <c r="E150">
        <v>0.37157837364153889</v>
      </c>
      <c r="F150">
        <v>9</v>
      </c>
      <c r="G150" t="s">
        <v>179</v>
      </c>
      <c r="H150">
        <v>0.54951593379847474</v>
      </c>
      <c r="I150">
        <v>0.57262267467773031</v>
      </c>
      <c r="J150">
        <v>0.55483227005051916</v>
      </c>
      <c r="K150">
        <v>0.54555684975977148</v>
      </c>
      <c r="L150">
        <v>0.55280859281037009</v>
      </c>
      <c r="M150">
        <v>0.51621060688160381</v>
      </c>
      <c r="N150">
        <v>0.54993948224024158</v>
      </c>
      <c r="O150">
        <v>0.52280994728733676</v>
      </c>
      <c r="P150">
        <v>0.46502191243830754</v>
      </c>
      <c r="Q150">
        <v>0.37157837364153889</v>
      </c>
      <c r="R150" t="s">
        <v>179</v>
      </c>
      <c r="S150" t="s">
        <v>179</v>
      </c>
      <c r="T150" t="s">
        <v>179</v>
      </c>
      <c r="U150" t="s">
        <v>179</v>
      </c>
      <c r="V150" t="s">
        <v>179</v>
      </c>
      <c r="W150" t="s">
        <v>179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s">
        <v>179</v>
      </c>
      <c r="AI150" t="s">
        <v>179</v>
      </c>
      <c r="AJ150" t="s">
        <v>179</v>
      </c>
      <c r="AK150" t="s">
        <v>179</v>
      </c>
      <c r="AL150" t="s">
        <v>179</v>
      </c>
      <c r="AM150">
        <v>0</v>
      </c>
      <c r="AN150">
        <v>0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</row>
    <row r="151" spans="1:50" x14ac:dyDescent="0.2">
      <c r="A151" t="s">
        <v>224</v>
      </c>
      <c r="B151">
        <v>755</v>
      </c>
      <c r="C151" t="s">
        <v>3</v>
      </c>
      <c r="D151">
        <v>0.57305161937075877</v>
      </c>
      <c r="E151">
        <v>0.37313354834774226</v>
      </c>
      <c r="F151">
        <v>8</v>
      </c>
      <c r="G151" t="s">
        <v>179</v>
      </c>
      <c r="H151">
        <v>0.57305161937075877</v>
      </c>
      <c r="I151">
        <v>0.59358653897469427</v>
      </c>
      <c r="J151">
        <v>0.57049109517601038</v>
      </c>
      <c r="K151">
        <v>0.57276081985159955</v>
      </c>
      <c r="L151">
        <v>0.51696909022177417</v>
      </c>
      <c r="M151">
        <v>0.55901097673347155</v>
      </c>
      <c r="N151">
        <v>0.55782233556102712</v>
      </c>
      <c r="O151">
        <v>0.54250750769646849</v>
      </c>
      <c r="P151">
        <v>0.37313354834774226</v>
      </c>
      <c r="Q151" t="s">
        <v>179</v>
      </c>
      <c r="R151" t="s">
        <v>179</v>
      </c>
      <c r="S151" t="s">
        <v>179</v>
      </c>
      <c r="T151" t="s">
        <v>179</v>
      </c>
      <c r="U151" t="s">
        <v>179</v>
      </c>
      <c r="V151" t="s">
        <v>179</v>
      </c>
      <c r="W151">
        <v>0.5250903589140119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179</v>
      </c>
      <c r="AH151" t="s">
        <v>179</v>
      </c>
      <c r="AI151" t="s">
        <v>179</v>
      </c>
      <c r="AJ151" t="s">
        <v>179</v>
      </c>
      <c r="AK151" t="s">
        <v>179</v>
      </c>
      <c r="AL151" t="s">
        <v>179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</row>
    <row r="152" spans="1:50" x14ac:dyDescent="0.2">
      <c r="A152" t="s">
        <v>225</v>
      </c>
      <c r="B152">
        <v>755</v>
      </c>
      <c r="C152" t="s">
        <v>112</v>
      </c>
      <c r="D152">
        <v>0.60421366685818967</v>
      </c>
      <c r="E152">
        <v>0.63331642144427536</v>
      </c>
      <c r="F152" t="s">
        <v>179</v>
      </c>
      <c r="G152" t="s">
        <v>179</v>
      </c>
      <c r="H152">
        <v>0.60421366685818967</v>
      </c>
      <c r="I152">
        <v>0.62305613564726359</v>
      </c>
      <c r="J152">
        <v>0.62685844309401784</v>
      </c>
      <c r="K152">
        <v>0.63664655584652163</v>
      </c>
      <c r="L152">
        <v>0.63299744507211497</v>
      </c>
      <c r="M152">
        <v>0.63660459317543427</v>
      </c>
      <c r="N152">
        <v>0.63600000000000001</v>
      </c>
      <c r="O152">
        <v>0.64433333333333342</v>
      </c>
      <c r="P152">
        <v>0.63833333333333331</v>
      </c>
      <c r="Q152">
        <v>0.63</v>
      </c>
      <c r="R152">
        <v>0.63</v>
      </c>
      <c r="S152">
        <v>0.6166666666666667</v>
      </c>
      <c r="T152">
        <v>0.63400000000000001</v>
      </c>
      <c r="U152">
        <v>0.64166666666666672</v>
      </c>
      <c r="V152">
        <v>0.63331642144427536</v>
      </c>
      <c r="W152">
        <v>0.54594898724681173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 x14ac:dyDescent="0.2">
      <c r="A153" t="s">
        <v>224</v>
      </c>
      <c r="B153">
        <v>755</v>
      </c>
      <c r="C153" t="s">
        <v>154</v>
      </c>
      <c r="D153">
        <v>0.58216999720891494</v>
      </c>
      <c r="E153">
        <v>0.40718435816164822</v>
      </c>
      <c r="F153">
        <v>9</v>
      </c>
      <c r="G153" t="s">
        <v>179</v>
      </c>
      <c r="H153">
        <v>0.58216999720891494</v>
      </c>
      <c r="I153">
        <v>0.57560313528896179</v>
      </c>
      <c r="J153">
        <v>0.5584899854027886</v>
      </c>
      <c r="K153">
        <v>0.55375848300409991</v>
      </c>
      <c r="L153">
        <v>0.53965222633400978</v>
      </c>
      <c r="M153">
        <v>0.53855485205388032</v>
      </c>
      <c r="N153">
        <v>0.52669071472809159</v>
      </c>
      <c r="O153">
        <v>0.51038591042605497</v>
      </c>
      <c r="P153">
        <v>0.47550487233309918</v>
      </c>
      <c r="Q153">
        <v>0.40718435816164822</v>
      </c>
      <c r="R153" t="s">
        <v>179</v>
      </c>
      <c r="S153" t="s">
        <v>179</v>
      </c>
      <c r="T153" t="s">
        <v>179</v>
      </c>
      <c r="U153" t="s">
        <v>179</v>
      </c>
      <c r="V153" t="s">
        <v>179</v>
      </c>
      <c r="W153">
        <v>0.51244120770747981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 t="s">
        <v>179</v>
      </c>
      <c r="AI153" t="s">
        <v>179</v>
      </c>
      <c r="AJ153" t="s">
        <v>179</v>
      </c>
      <c r="AK153" t="s">
        <v>179</v>
      </c>
      <c r="AL153" t="s">
        <v>179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 x14ac:dyDescent="0.2">
      <c r="A154" t="s">
        <v>224</v>
      </c>
      <c r="B154">
        <v>756</v>
      </c>
      <c r="C154" t="s">
        <v>25</v>
      </c>
      <c r="D154">
        <v>0.51745920336901208</v>
      </c>
      <c r="E154">
        <v>0.29202764505119455</v>
      </c>
      <c r="F154">
        <v>10</v>
      </c>
      <c r="G154" t="s">
        <v>179</v>
      </c>
      <c r="H154">
        <v>0.51745920336901208</v>
      </c>
      <c r="I154">
        <v>0.52133333333333332</v>
      </c>
      <c r="J154">
        <v>0.51585191245653506</v>
      </c>
      <c r="K154">
        <v>0.48817829671290747</v>
      </c>
      <c r="L154">
        <v>0.47399999999999998</v>
      </c>
      <c r="M154">
        <v>0.48218759386745613</v>
      </c>
      <c r="N154">
        <v>0.48566666666666664</v>
      </c>
      <c r="O154">
        <v>0.48466666666666663</v>
      </c>
      <c r="P154">
        <v>0.43846570335156432</v>
      </c>
      <c r="Q154">
        <v>0.37235258271799521</v>
      </c>
      <c r="R154">
        <v>0.29202764505119455</v>
      </c>
      <c r="S154" t="s">
        <v>179</v>
      </c>
      <c r="T154" t="s">
        <v>179</v>
      </c>
      <c r="U154" t="s">
        <v>179</v>
      </c>
      <c r="V154" t="s">
        <v>179</v>
      </c>
      <c r="W154">
        <v>0.51502806445772231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">
        <v>179</v>
      </c>
      <c r="AJ154" t="s">
        <v>179</v>
      </c>
      <c r="AK154" t="s">
        <v>179</v>
      </c>
      <c r="AL154" t="s">
        <v>179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 x14ac:dyDescent="0.2">
      <c r="A155" t="s">
        <v>225</v>
      </c>
      <c r="B155">
        <v>756</v>
      </c>
      <c r="C155" t="s">
        <v>89</v>
      </c>
      <c r="D155">
        <v>0.55672823218997369</v>
      </c>
      <c r="E155">
        <v>0.54799386099539582</v>
      </c>
      <c r="F155" t="s">
        <v>179</v>
      </c>
      <c r="G155" t="s">
        <v>179</v>
      </c>
      <c r="H155">
        <v>0.55672823218997369</v>
      </c>
      <c r="I155">
        <v>0.55984016263656422</v>
      </c>
      <c r="J155">
        <v>0.56502727091586757</v>
      </c>
      <c r="K155">
        <v>0.55909653270463455</v>
      </c>
      <c r="L155">
        <v>0.54040491989006423</v>
      </c>
      <c r="M155">
        <v>0.55185309878202748</v>
      </c>
      <c r="N155">
        <v>0.56356688722196746</v>
      </c>
      <c r="O155">
        <v>0.57972870065114923</v>
      </c>
      <c r="P155">
        <v>0.55839037958929683</v>
      </c>
      <c r="Q155">
        <v>0.54146900645563145</v>
      </c>
      <c r="R155">
        <v>0.55253440332326287</v>
      </c>
      <c r="S155">
        <v>0.55189429243548671</v>
      </c>
      <c r="T155">
        <v>0.56039635335178717</v>
      </c>
      <c r="U155">
        <v>0.57133719768139124</v>
      </c>
      <c r="V155">
        <v>0.54799386099539582</v>
      </c>
      <c r="W155">
        <v>0.56083294337856815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 x14ac:dyDescent="0.2">
      <c r="A156" t="s">
        <v>224</v>
      </c>
      <c r="B156">
        <v>756</v>
      </c>
      <c r="C156" t="s">
        <v>166</v>
      </c>
      <c r="D156">
        <v>0.53829787957299413</v>
      </c>
      <c r="E156">
        <v>0.36727469621069081</v>
      </c>
      <c r="F156">
        <v>12</v>
      </c>
      <c r="G156" t="s">
        <v>179</v>
      </c>
      <c r="H156">
        <v>0.53829787957299413</v>
      </c>
      <c r="I156">
        <v>0.54708362339582561</v>
      </c>
      <c r="J156">
        <v>0.51932287202179872</v>
      </c>
      <c r="K156">
        <v>0.52067611545081427</v>
      </c>
      <c r="L156">
        <v>0.51205297244369841</v>
      </c>
      <c r="M156">
        <v>0.51186220106847025</v>
      </c>
      <c r="N156">
        <v>0.51019150541762859</v>
      </c>
      <c r="O156">
        <v>0.5053333333333333</v>
      </c>
      <c r="P156">
        <v>0.4811004809516724</v>
      </c>
      <c r="Q156">
        <v>0.46301188903566709</v>
      </c>
      <c r="R156">
        <v>0.4122905654626165</v>
      </c>
      <c r="S156">
        <v>0.39541768821867479</v>
      </c>
      <c r="T156">
        <v>0.36727469621069081</v>
      </c>
      <c r="U156" t="s">
        <v>179</v>
      </c>
      <c r="V156" t="s">
        <v>179</v>
      </c>
      <c r="W156">
        <v>0.506712978424955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t="s">
        <v>179</v>
      </c>
      <c r="AL156" t="s">
        <v>179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 x14ac:dyDescent="0.2">
      <c r="A157" t="s">
        <v>224</v>
      </c>
      <c r="B157">
        <v>757</v>
      </c>
      <c r="C157" t="s">
        <v>11</v>
      </c>
      <c r="D157">
        <v>0.54746875232083181</v>
      </c>
      <c r="E157">
        <v>0.17400000000000002</v>
      </c>
      <c r="F157">
        <v>7</v>
      </c>
      <c r="G157" t="s">
        <v>179</v>
      </c>
      <c r="H157">
        <v>0.54746875232083181</v>
      </c>
      <c r="I157">
        <v>0.54980938173379734</v>
      </c>
      <c r="J157">
        <v>0.50188497697256285</v>
      </c>
      <c r="K157">
        <v>0.50893041508219838</v>
      </c>
      <c r="L157">
        <v>0.47466666666666663</v>
      </c>
      <c r="M157">
        <v>0.48100000000000004</v>
      </c>
      <c r="N157">
        <v>0.47366666666666662</v>
      </c>
      <c r="O157">
        <v>0.17400000000000002</v>
      </c>
      <c r="P157" t="s">
        <v>179</v>
      </c>
      <c r="Q157" t="s">
        <v>179</v>
      </c>
      <c r="R157" t="s">
        <v>179</v>
      </c>
      <c r="S157" t="s">
        <v>179</v>
      </c>
      <c r="T157" t="s">
        <v>179</v>
      </c>
      <c r="U157" t="s">
        <v>179</v>
      </c>
      <c r="V157" t="s">
        <v>179</v>
      </c>
      <c r="W157" t="s">
        <v>179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">
        <v>179</v>
      </c>
      <c r="AG157" t="s">
        <v>179</v>
      </c>
      <c r="AH157" t="s">
        <v>179</v>
      </c>
      <c r="AI157" t="s">
        <v>179</v>
      </c>
      <c r="AJ157" t="s">
        <v>179</v>
      </c>
      <c r="AK157" t="s">
        <v>179</v>
      </c>
      <c r="AL157" t="s">
        <v>179</v>
      </c>
      <c r="AM157">
        <v>0</v>
      </c>
      <c r="AN157">
        <v>0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</row>
    <row r="158" spans="1:50" x14ac:dyDescent="0.2">
      <c r="A158" t="s">
        <v>225</v>
      </c>
      <c r="B158">
        <v>757</v>
      </c>
      <c r="C158" t="s">
        <v>97</v>
      </c>
      <c r="D158">
        <v>0.56448361845515815</v>
      </c>
      <c r="E158">
        <v>0.55165885749443888</v>
      </c>
      <c r="F158" t="s">
        <v>179</v>
      </c>
      <c r="G158" t="s">
        <v>179</v>
      </c>
      <c r="H158">
        <v>0.56448361845515815</v>
      </c>
      <c r="I158">
        <v>0.56322447002657139</v>
      </c>
      <c r="J158">
        <v>0.53800291062528893</v>
      </c>
      <c r="K158">
        <v>0.54162276080084304</v>
      </c>
      <c r="L158">
        <v>0.54993879289993552</v>
      </c>
      <c r="M158">
        <v>0.55441486692015207</v>
      </c>
      <c r="N158">
        <v>0.5523844561489466</v>
      </c>
      <c r="O158">
        <v>0.57195683894544502</v>
      </c>
      <c r="P158">
        <v>0.56575021061651931</v>
      </c>
      <c r="Q158">
        <v>0.56045011095407316</v>
      </c>
      <c r="R158">
        <v>0.55019669091052004</v>
      </c>
      <c r="S158">
        <v>0.50305239406354263</v>
      </c>
      <c r="T158">
        <v>0.54675011014822217</v>
      </c>
      <c r="U158">
        <v>0.57431556470677958</v>
      </c>
      <c r="V158">
        <v>0.55165885749443888</v>
      </c>
      <c r="W158" t="s">
        <v>179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</row>
    <row r="159" spans="1:50" x14ac:dyDescent="0.2">
      <c r="A159" t="s">
        <v>224</v>
      </c>
      <c r="B159">
        <v>757</v>
      </c>
      <c r="C159" t="s">
        <v>142</v>
      </c>
      <c r="D159">
        <v>0.55767661935062818</v>
      </c>
      <c r="E159">
        <v>0.32666666666666666</v>
      </c>
      <c r="F159">
        <v>8</v>
      </c>
      <c r="G159" t="s">
        <v>179</v>
      </c>
      <c r="H159">
        <v>0.55767661935062818</v>
      </c>
      <c r="I159">
        <v>0.5596548646236239</v>
      </c>
      <c r="J159">
        <v>0.5295766750770956</v>
      </c>
      <c r="K159">
        <v>0.51813384420519315</v>
      </c>
      <c r="L159">
        <v>0.49715295702334983</v>
      </c>
      <c r="M159">
        <v>0.48850747554463264</v>
      </c>
      <c r="N159">
        <v>0.48833333333333329</v>
      </c>
      <c r="O159">
        <v>0.40133333333333338</v>
      </c>
      <c r="P159">
        <v>0.32666666666666666</v>
      </c>
      <c r="Q159" t="s">
        <v>179</v>
      </c>
      <c r="R159" t="s">
        <v>179</v>
      </c>
      <c r="S159" t="s">
        <v>179</v>
      </c>
      <c r="T159" t="s">
        <v>179</v>
      </c>
      <c r="U159" t="s">
        <v>179</v>
      </c>
      <c r="V159" t="s">
        <v>179</v>
      </c>
      <c r="W159" t="s">
        <v>179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179</v>
      </c>
      <c r="AH159" t="s">
        <v>179</v>
      </c>
      <c r="AI159" t="s">
        <v>179</v>
      </c>
      <c r="AJ159" t="s">
        <v>179</v>
      </c>
      <c r="AK159" t="s">
        <v>179</v>
      </c>
      <c r="AL159" t="s">
        <v>179</v>
      </c>
      <c r="AM159">
        <v>0</v>
      </c>
      <c r="AN159">
        <v>0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</row>
    <row r="160" spans="1:50" x14ac:dyDescent="0.2">
      <c r="A160" t="s">
        <v>224</v>
      </c>
      <c r="B160">
        <v>758</v>
      </c>
      <c r="C160" t="s">
        <v>27</v>
      </c>
      <c r="D160">
        <v>0.53551565745187013</v>
      </c>
      <c r="E160">
        <v>0.46233333333333332</v>
      </c>
      <c r="F160" t="s">
        <v>179</v>
      </c>
      <c r="G160">
        <v>5</v>
      </c>
      <c r="H160">
        <v>0.53551565745187013</v>
      </c>
      <c r="I160">
        <v>0.54484981290926093</v>
      </c>
      <c r="J160">
        <v>0.49942462831104889</v>
      </c>
      <c r="K160">
        <v>0.51451578194532743</v>
      </c>
      <c r="L160">
        <v>0.46233333333333332</v>
      </c>
      <c r="M160" t="s">
        <v>179</v>
      </c>
      <c r="N160" t="s">
        <v>179</v>
      </c>
      <c r="O160" t="s">
        <v>179</v>
      </c>
      <c r="P160" t="s">
        <v>179</v>
      </c>
      <c r="Q160" t="s">
        <v>179</v>
      </c>
      <c r="R160" t="s">
        <v>179</v>
      </c>
      <c r="S160" t="s">
        <v>179</v>
      </c>
      <c r="T160" t="s">
        <v>179</v>
      </c>
      <c r="U160" t="s">
        <v>179</v>
      </c>
      <c r="V160" t="s">
        <v>179</v>
      </c>
      <c r="W160" t="s">
        <v>179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 t="s">
        <v>179</v>
      </c>
      <c r="AN160" t="s">
        <v>179</v>
      </c>
      <c r="AO160" t="s">
        <v>179</v>
      </c>
      <c r="AP160" t="s">
        <v>179</v>
      </c>
      <c r="AQ160" t="s">
        <v>179</v>
      </c>
      <c r="AR160" t="s">
        <v>179</v>
      </c>
      <c r="AS160" t="s">
        <v>179</v>
      </c>
      <c r="AT160" t="s">
        <v>179</v>
      </c>
      <c r="AU160" t="s">
        <v>179</v>
      </c>
      <c r="AV160" t="s">
        <v>179</v>
      </c>
      <c r="AW160" t="s">
        <v>179</v>
      </c>
      <c r="AX160" t="s">
        <v>179</v>
      </c>
    </row>
    <row r="161" spans="1:50" x14ac:dyDescent="0.2">
      <c r="A161" t="s">
        <v>225</v>
      </c>
      <c r="B161">
        <v>758</v>
      </c>
      <c r="C161" t="s">
        <v>73</v>
      </c>
      <c r="D161">
        <v>0.53047690173852091</v>
      </c>
      <c r="E161">
        <v>0.52007216959855662</v>
      </c>
      <c r="F161" t="s">
        <v>179</v>
      </c>
      <c r="G161" t="s">
        <v>179</v>
      </c>
      <c r="H161">
        <v>0.53047690173852091</v>
      </c>
      <c r="I161">
        <v>0.5323929272077409</v>
      </c>
      <c r="J161">
        <v>0.52591584682833292</v>
      </c>
      <c r="K161">
        <v>0.54949761263615882</v>
      </c>
      <c r="L161">
        <v>0.52511697503803734</v>
      </c>
      <c r="M161">
        <v>0.53325682774448557</v>
      </c>
      <c r="N161">
        <v>0.55632164695368913</v>
      </c>
      <c r="O161">
        <v>0.56030411764705879</v>
      </c>
      <c r="P161">
        <v>0.5531847064444434</v>
      </c>
      <c r="Q161">
        <v>0.53612261988178456</v>
      </c>
      <c r="R161">
        <v>0.53734951403101916</v>
      </c>
      <c r="S161">
        <v>0.52315166979397709</v>
      </c>
      <c r="T161">
        <v>0.54780594518080039</v>
      </c>
      <c r="U161">
        <v>0.54496633536389871</v>
      </c>
      <c r="V161">
        <v>0.52007216959855662</v>
      </c>
      <c r="W161" t="s">
        <v>179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 x14ac:dyDescent="0.2">
      <c r="A162" t="s">
        <v>224</v>
      </c>
      <c r="B162">
        <v>758</v>
      </c>
      <c r="C162" t="s">
        <v>128</v>
      </c>
      <c r="D162">
        <v>0.55974681806517834</v>
      </c>
      <c r="E162">
        <v>0.37031899836567689</v>
      </c>
      <c r="F162">
        <v>8</v>
      </c>
      <c r="G162" t="s">
        <v>179</v>
      </c>
      <c r="H162">
        <v>0.55974681806517834</v>
      </c>
      <c r="I162">
        <v>0.55333333333333334</v>
      </c>
      <c r="J162">
        <v>0.53623762955945498</v>
      </c>
      <c r="K162">
        <v>0.54118774362818589</v>
      </c>
      <c r="L162">
        <v>0.5098659051724137</v>
      </c>
      <c r="M162">
        <v>0.50337410165910623</v>
      </c>
      <c r="N162">
        <v>0.41452031114952465</v>
      </c>
      <c r="O162">
        <v>0.39633333333333337</v>
      </c>
      <c r="P162">
        <v>0.37031899836567689</v>
      </c>
      <c r="Q162" t="s">
        <v>179</v>
      </c>
      <c r="R162" t="s">
        <v>179</v>
      </c>
      <c r="S162" t="s">
        <v>179</v>
      </c>
      <c r="T162" t="s">
        <v>179</v>
      </c>
      <c r="U162" t="s">
        <v>179</v>
      </c>
      <c r="V162" t="s">
        <v>179</v>
      </c>
      <c r="W162" t="s">
        <v>179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179</v>
      </c>
      <c r="AH162" t="s">
        <v>179</v>
      </c>
      <c r="AI162" t="s">
        <v>179</v>
      </c>
      <c r="AJ162" t="s">
        <v>179</v>
      </c>
      <c r="AK162" t="s">
        <v>179</v>
      </c>
      <c r="AL162" t="s">
        <v>179</v>
      </c>
      <c r="AM162">
        <v>0</v>
      </c>
      <c r="AN162">
        <v>0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</row>
    <row r="163" spans="1:50" x14ac:dyDescent="0.2">
      <c r="A163" t="s">
        <v>224</v>
      </c>
      <c r="B163">
        <v>759</v>
      </c>
      <c r="C163" t="s">
        <v>33</v>
      </c>
      <c r="D163">
        <v>0.5475796725107509</v>
      </c>
      <c r="E163">
        <v>0.37639604258531517</v>
      </c>
      <c r="F163">
        <v>10</v>
      </c>
      <c r="G163" t="s">
        <v>179</v>
      </c>
      <c r="H163">
        <v>0.5475796725107509</v>
      </c>
      <c r="I163">
        <v>0.5591572154426715</v>
      </c>
      <c r="J163">
        <v>0.53208256558877354</v>
      </c>
      <c r="K163">
        <v>0.52379612130848396</v>
      </c>
      <c r="L163">
        <v>0.50223893801625896</v>
      </c>
      <c r="M163">
        <v>0.49547547821470889</v>
      </c>
      <c r="N163">
        <v>0.50489344005603831</v>
      </c>
      <c r="O163">
        <v>0.52505458432728547</v>
      </c>
      <c r="P163">
        <v>0.48598406896420226</v>
      </c>
      <c r="Q163">
        <v>0.41824964828175965</v>
      </c>
      <c r="R163">
        <v>0.37639604258531517</v>
      </c>
      <c r="S163" t="s">
        <v>179</v>
      </c>
      <c r="T163" t="s">
        <v>179</v>
      </c>
      <c r="U163" t="s">
        <v>179</v>
      </c>
      <c r="V163" t="s">
        <v>179</v>
      </c>
      <c r="W163">
        <v>0.47320877084620128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179</v>
      </c>
      <c r="AJ163" t="s">
        <v>179</v>
      </c>
      <c r="AK163" t="s">
        <v>179</v>
      </c>
      <c r="AL163" t="s">
        <v>179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 x14ac:dyDescent="0.2">
      <c r="A164" t="s">
        <v>225</v>
      </c>
      <c r="B164">
        <v>759</v>
      </c>
      <c r="C164" t="s">
        <v>74</v>
      </c>
      <c r="D164">
        <v>0.57985819795679105</v>
      </c>
      <c r="E164">
        <v>0.59597004427158751</v>
      </c>
      <c r="F164" t="s">
        <v>179</v>
      </c>
      <c r="G164" t="s">
        <v>179</v>
      </c>
      <c r="H164">
        <v>0.57985819795679105</v>
      </c>
      <c r="I164">
        <v>0.56651651651651658</v>
      </c>
      <c r="J164">
        <v>0.55519360875948931</v>
      </c>
      <c r="K164">
        <v>0.57597284107614088</v>
      </c>
      <c r="L164">
        <v>0.53593885815971198</v>
      </c>
      <c r="M164">
        <v>0.57274288230286963</v>
      </c>
      <c r="N164">
        <v>0.59283401569802774</v>
      </c>
      <c r="O164">
        <v>0.59732582688247715</v>
      </c>
      <c r="P164">
        <v>0.58568059004138295</v>
      </c>
      <c r="Q164">
        <v>0.57301269600370808</v>
      </c>
      <c r="R164">
        <v>0.58763882802493828</v>
      </c>
      <c r="S164">
        <v>0.57627048910651235</v>
      </c>
      <c r="T164">
        <v>0.59426038655522428</v>
      </c>
      <c r="U164">
        <v>0.59984576670184275</v>
      </c>
      <c r="V164">
        <v>0.59597004427158751</v>
      </c>
      <c r="W164">
        <v>0.49320776731394284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spans="1:50" x14ac:dyDescent="0.2">
      <c r="A165" t="s">
        <v>224</v>
      </c>
      <c r="B165">
        <v>759</v>
      </c>
      <c r="C165" t="s">
        <v>129</v>
      </c>
      <c r="D165">
        <v>0.55323337837530617</v>
      </c>
      <c r="E165">
        <v>0.32375508396300573</v>
      </c>
      <c r="F165">
        <v>7</v>
      </c>
      <c r="G165" t="s">
        <v>179</v>
      </c>
      <c r="H165">
        <v>0.55323337837530617</v>
      </c>
      <c r="I165">
        <v>0.58086923575870919</v>
      </c>
      <c r="J165">
        <v>0.55252311111992947</v>
      </c>
      <c r="K165">
        <v>0.54099034932956946</v>
      </c>
      <c r="L165">
        <v>0.54044344395421529</v>
      </c>
      <c r="M165">
        <v>0.54373548250183446</v>
      </c>
      <c r="N165">
        <v>0.5470019630484988</v>
      </c>
      <c r="O165">
        <v>0.32375508396300573</v>
      </c>
      <c r="P165" t="s">
        <v>179</v>
      </c>
      <c r="Q165" t="s">
        <v>179</v>
      </c>
      <c r="R165" t="s">
        <v>179</v>
      </c>
      <c r="S165" t="s">
        <v>179</v>
      </c>
      <c r="T165" t="s">
        <v>179</v>
      </c>
      <c r="U165" t="s">
        <v>179</v>
      </c>
      <c r="V165" t="s">
        <v>179</v>
      </c>
      <c r="W165" t="s">
        <v>179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179</v>
      </c>
      <c r="AG165" t="s">
        <v>179</v>
      </c>
      <c r="AH165" t="s">
        <v>179</v>
      </c>
      <c r="AI165" t="s">
        <v>179</v>
      </c>
      <c r="AJ165" t="s">
        <v>179</v>
      </c>
      <c r="AK165" t="s">
        <v>179</v>
      </c>
      <c r="AL165" t="s">
        <v>179</v>
      </c>
      <c r="AM165">
        <v>0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</row>
    <row r="166" spans="1:50" x14ac:dyDescent="0.2">
      <c r="A166" t="s">
        <v>224</v>
      </c>
      <c r="B166">
        <v>760</v>
      </c>
      <c r="C166" t="s">
        <v>26</v>
      </c>
      <c r="D166">
        <v>0.50766439649837714</v>
      </c>
      <c r="E166">
        <v>0.30051656031601343</v>
      </c>
      <c r="F166">
        <v>11</v>
      </c>
      <c r="G166" t="s">
        <v>179</v>
      </c>
      <c r="H166">
        <v>0.50766439649837714</v>
      </c>
      <c r="I166">
        <v>0.52487592757367196</v>
      </c>
      <c r="J166">
        <v>0.47676972362920716</v>
      </c>
      <c r="K166">
        <v>0.47765755779584085</v>
      </c>
      <c r="L166">
        <v>0.47684849090909093</v>
      </c>
      <c r="M166">
        <v>0.49162192939645355</v>
      </c>
      <c r="N166">
        <v>0.49231484916345386</v>
      </c>
      <c r="O166">
        <v>0.50520390292364459</v>
      </c>
      <c r="P166">
        <v>0.49089125560538116</v>
      </c>
      <c r="Q166">
        <v>0.4685379395434916</v>
      </c>
      <c r="R166">
        <v>0.41613863971401355</v>
      </c>
      <c r="S166">
        <v>0.30051656031601343</v>
      </c>
      <c r="T166" t="s">
        <v>179</v>
      </c>
      <c r="U166" t="s">
        <v>179</v>
      </c>
      <c r="V166" t="s">
        <v>179</v>
      </c>
      <c r="W166">
        <v>0.47732289785269916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179</v>
      </c>
      <c r="AK166" t="s">
        <v>179</v>
      </c>
      <c r="AL166" t="s">
        <v>179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</row>
    <row r="167" spans="1:50" x14ac:dyDescent="0.2">
      <c r="A167" t="s">
        <v>225</v>
      </c>
      <c r="B167">
        <v>760</v>
      </c>
      <c r="C167" t="s">
        <v>80</v>
      </c>
      <c r="D167">
        <v>0.54311521659024908</v>
      </c>
      <c r="E167">
        <v>0.52851405622489955</v>
      </c>
      <c r="F167" t="s">
        <v>179</v>
      </c>
      <c r="G167" t="s">
        <v>179</v>
      </c>
      <c r="H167">
        <v>0.54311521659024908</v>
      </c>
      <c r="I167">
        <v>0.52880870915274292</v>
      </c>
      <c r="J167">
        <v>0.51139907194369116</v>
      </c>
      <c r="K167">
        <v>0.52271085475379375</v>
      </c>
      <c r="L167">
        <v>0.49565476732211727</v>
      </c>
      <c r="M167">
        <v>0.53128173194718642</v>
      </c>
      <c r="N167">
        <v>0.54415844538353186</v>
      </c>
      <c r="O167">
        <v>0.55797036972398817</v>
      </c>
      <c r="P167">
        <v>0.53541954254115876</v>
      </c>
      <c r="Q167">
        <v>0.54045131408085534</v>
      </c>
      <c r="R167">
        <v>0.55332890510948896</v>
      </c>
      <c r="S167">
        <v>0.51937122844318628</v>
      </c>
      <c r="T167">
        <v>0.55374592833876224</v>
      </c>
      <c r="U167">
        <v>0.5535228182546037</v>
      </c>
      <c r="V167">
        <v>0.52851405622489955</v>
      </c>
      <c r="W167">
        <v>0.4333809750674924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</row>
    <row r="168" spans="1:50" x14ac:dyDescent="0.2">
      <c r="A168" t="s">
        <v>224</v>
      </c>
      <c r="B168">
        <v>760</v>
      </c>
      <c r="C168" t="s">
        <v>170</v>
      </c>
      <c r="D168">
        <v>0.55428393302666623</v>
      </c>
      <c r="E168">
        <v>0.379701617986972</v>
      </c>
      <c r="F168">
        <v>7</v>
      </c>
      <c r="G168" t="s">
        <v>179</v>
      </c>
      <c r="H168">
        <v>0.55428393302666623</v>
      </c>
      <c r="I168">
        <v>0.54867211160024465</v>
      </c>
      <c r="J168">
        <v>0.52594463214398479</v>
      </c>
      <c r="K168">
        <v>0.51737033503533869</v>
      </c>
      <c r="L168">
        <v>0.52178452154949384</v>
      </c>
      <c r="M168">
        <v>0.52519090416158332</v>
      </c>
      <c r="N168">
        <v>0.5290477801451271</v>
      </c>
      <c r="O168">
        <v>0.379701617986972</v>
      </c>
      <c r="P168" t="s">
        <v>179</v>
      </c>
      <c r="Q168" t="s">
        <v>179</v>
      </c>
      <c r="R168" t="s">
        <v>179</v>
      </c>
      <c r="S168" t="s">
        <v>179</v>
      </c>
      <c r="T168" t="s">
        <v>179</v>
      </c>
      <c r="U168" t="s">
        <v>179</v>
      </c>
      <c r="V168" t="s">
        <v>179</v>
      </c>
      <c r="W168" t="s">
        <v>179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179</v>
      </c>
      <c r="AG168" t="s">
        <v>179</v>
      </c>
      <c r="AH168" t="s">
        <v>179</v>
      </c>
      <c r="AI168" t="s">
        <v>179</v>
      </c>
      <c r="AJ168" t="s">
        <v>179</v>
      </c>
      <c r="AK168" t="s">
        <v>179</v>
      </c>
      <c r="AL168" t="s">
        <v>179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</row>
    <row r="169" spans="1:50" x14ac:dyDescent="0.2">
      <c r="A169" t="s">
        <v>224</v>
      </c>
      <c r="B169">
        <v>761</v>
      </c>
      <c r="C169" t="s">
        <v>35</v>
      </c>
      <c r="D169">
        <v>0.49770569488968502</v>
      </c>
      <c r="E169">
        <v>0.27257336123368775</v>
      </c>
      <c r="F169">
        <v>11</v>
      </c>
      <c r="G169" t="s">
        <v>179</v>
      </c>
      <c r="H169">
        <v>0.49770569488968502</v>
      </c>
      <c r="I169">
        <v>0.5006666666666667</v>
      </c>
      <c r="J169">
        <v>0.49130950023209036</v>
      </c>
      <c r="K169">
        <v>0.49190172712702884</v>
      </c>
      <c r="L169">
        <v>0.48666666666666664</v>
      </c>
      <c r="M169">
        <v>0.49179559774964837</v>
      </c>
      <c r="N169">
        <v>0.49978195970695966</v>
      </c>
      <c r="O169">
        <v>0.50002006258274156</v>
      </c>
      <c r="P169">
        <v>0.48157072289156627</v>
      </c>
      <c r="Q169">
        <v>0.43417646169001961</v>
      </c>
      <c r="R169">
        <v>0.40093076788830712</v>
      </c>
      <c r="S169">
        <v>0.27257336123368775</v>
      </c>
      <c r="T169" t="s">
        <v>179</v>
      </c>
      <c r="U169" t="s">
        <v>179</v>
      </c>
      <c r="V169" t="s">
        <v>179</v>
      </c>
      <c r="W169" t="s">
        <v>179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179</v>
      </c>
      <c r="AK169" t="s">
        <v>179</v>
      </c>
      <c r="AL169" t="s">
        <v>179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</row>
    <row r="170" spans="1:50" x14ac:dyDescent="0.2">
      <c r="A170" t="s">
        <v>225</v>
      </c>
      <c r="B170">
        <v>761</v>
      </c>
      <c r="C170" t="s">
        <v>84</v>
      </c>
      <c r="D170">
        <v>0.54464465197984369</v>
      </c>
      <c r="E170">
        <v>0.54202529422097323</v>
      </c>
      <c r="F170" t="s">
        <v>179</v>
      </c>
      <c r="G170" t="s">
        <v>179</v>
      </c>
      <c r="H170">
        <v>0.54464465197984369</v>
      </c>
      <c r="I170">
        <v>0.54769103903243543</v>
      </c>
      <c r="J170">
        <v>0.52996965098634286</v>
      </c>
      <c r="K170">
        <v>0.53008667363212036</v>
      </c>
      <c r="L170">
        <v>0.50727955998864771</v>
      </c>
      <c r="M170">
        <v>0.55568939698068298</v>
      </c>
      <c r="N170">
        <v>0.56680005163289016</v>
      </c>
      <c r="O170">
        <v>0.56968590693462551</v>
      </c>
      <c r="P170">
        <v>0.56047235920062288</v>
      </c>
      <c r="Q170">
        <v>0.54163476652207199</v>
      </c>
      <c r="R170">
        <v>0.5579289934585131</v>
      </c>
      <c r="S170">
        <v>0.53437712927851799</v>
      </c>
      <c r="T170">
        <v>0.56418712593135456</v>
      </c>
      <c r="U170">
        <v>0.55518903831514843</v>
      </c>
      <c r="V170">
        <v>0.54202529422097323</v>
      </c>
      <c r="W170" t="s">
        <v>179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 x14ac:dyDescent="0.2">
      <c r="A171" t="s">
        <v>224</v>
      </c>
      <c r="B171">
        <v>761</v>
      </c>
      <c r="C171" t="s">
        <v>167</v>
      </c>
      <c r="D171">
        <v>0.52306773500447623</v>
      </c>
      <c r="E171">
        <v>0.3627387394594595</v>
      </c>
      <c r="F171">
        <v>13</v>
      </c>
      <c r="G171" t="s">
        <v>179</v>
      </c>
      <c r="H171">
        <v>0.52306773500447623</v>
      </c>
      <c r="I171">
        <v>0.51749644381223325</v>
      </c>
      <c r="J171">
        <v>0.50043131065111435</v>
      </c>
      <c r="K171">
        <v>0.50163955019711959</v>
      </c>
      <c r="L171">
        <v>0.49800000000000005</v>
      </c>
      <c r="M171">
        <v>0.49495447143093002</v>
      </c>
      <c r="N171">
        <v>0.50207977234672718</v>
      </c>
      <c r="O171">
        <v>0.50536085826149546</v>
      </c>
      <c r="P171">
        <v>0.47892095357590969</v>
      </c>
      <c r="Q171">
        <v>0.46804458677173905</v>
      </c>
      <c r="R171">
        <v>0.4433085982355412</v>
      </c>
      <c r="S171">
        <v>0.42365680833295266</v>
      </c>
      <c r="T171">
        <v>0.38311782327586208</v>
      </c>
      <c r="U171">
        <v>0.3627387394594595</v>
      </c>
      <c r="V171" t="s">
        <v>179</v>
      </c>
      <c r="W171" t="s">
        <v>179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 t="s">
        <v>179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1</v>
      </c>
      <c r="AW171">
        <v>1</v>
      </c>
      <c r="AX171">
        <v>1</v>
      </c>
    </row>
    <row r="172" spans="1:50" x14ac:dyDescent="0.2">
      <c r="A172" t="s">
        <v>224</v>
      </c>
      <c r="B172">
        <v>762</v>
      </c>
      <c r="C172" t="s">
        <v>23</v>
      </c>
      <c r="D172">
        <v>0.5379310344827587</v>
      </c>
      <c r="E172">
        <v>0.27421928112355504</v>
      </c>
      <c r="F172">
        <v>11</v>
      </c>
      <c r="G172" t="s">
        <v>179</v>
      </c>
      <c r="H172">
        <v>0.5379310344827587</v>
      </c>
      <c r="I172">
        <v>0.57075050575581032</v>
      </c>
      <c r="J172">
        <v>0.54226412041379668</v>
      </c>
      <c r="K172">
        <v>0.52767241027137446</v>
      </c>
      <c r="L172">
        <v>0.53379646326415908</v>
      </c>
      <c r="M172">
        <v>0.54260427199602546</v>
      </c>
      <c r="N172">
        <v>0.54453853325388391</v>
      </c>
      <c r="O172">
        <v>0.53862306884655764</v>
      </c>
      <c r="P172">
        <v>0.52080762490638044</v>
      </c>
      <c r="Q172">
        <v>0.38932520747976601</v>
      </c>
      <c r="R172">
        <v>0.42209592751660613</v>
      </c>
      <c r="S172">
        <v>0.27421928112355504</v>
      </c>
      <c r="T172" t="s">
        <v>179</v>
      </c>
      <c r="U172" t="s">
        <v>179</v>
      </c>
      <c r="V172" t="s">
        <v>179</v>
      </c>
      <c r="W172">
        <v>0.5346246143297908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179</v>
      </c>
      <c r="AK172" t="s">
        <v>179</v>
      </c>
      <c r="AL172" t="s">
        <v>179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 x14ac:dyDescent="0.2">
      <c r="A173" t="s">
        <v>225</v>
      </c>
      <c r="B173">
        <v>762</v>
      </c>
      <c r="C173" t="s">
        <v>83</v>
      </c>
      <c r="D173">
        <v>0.57902478178292849</v>
      </c>
      <c r="E173">
        <v>0.57466978165154114</v>
      </c>
      <c r="F173" t="s">
        <v>179</v>
      </c>
      <c r="G173" t="s">
        <v>179</v>
      </c>
      <c r="H173">
        <v>0.57902478178292849</v>
      </c>
      <c r="I173">
        <v>0.58036499010554088</v>
      </c>
      <c r="J173">
        <v>0.57189623318236316</v>
      </c>
      <c r="K173">
        <v>0.58497531728406049</v>
      </c>
      <c r="L173">
        <v>0.57480112907364644</v>
      </c>
      <c r="M173">
        <v>0.58334039606133004</v>
      </c>
      <c r="N173">
        <v>0.6037008505608118</v>
      </c>
      <c r="O173">
        <v>0.6103190809572302</v>
      </c>
      <c r="P173">
        <v>0.59657162383365636</v>
      </c>
      <c r="Q173">
        <v>0.58880071821335367</v>
      </c>
      <c r="R173">
        <v>0.58700501389134341</v>
      </c>
      <c r="S173">
        <v>0.61728395061728403</v>
      </c>
      <c r="T173">
        <v>0.60039353177593568</v>
      </c>
      <c r="U173">
        <v>0.60199168758487298</v>
      </c>
      <c r="V173">
        <v>0.57466978165154114</v>
      </c>
      <c r="W173">
        <v>0.54691193094234913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 x14ac:dyDescent="0.2">
      <c r="A174" t="s">
        <v>224</v>
      </c>
      <c r="B174">
        <v>762</v>
      </c>
      <c r="C174" t="s">
        <v>139</v>
      </c>
      <c r="D174">
        <v>0.57646031419487564</v>
      </c>
      <c r="E174">
        <v>0.37923541747094236</v>
      </c>
      <c r="F174">
        <v>7</v>
      </c>
      <c r="G174" t="s">
        <v>179</v>
      </c>
      <c r="H174">
        <v>0.57646031419487564</v>
      </c>
      <c r="I174">
        <v>0.59218337730870718</v>
      </c>
      <c r="J174">
        <v>0.55967844987833171</v>
      </c>
      <c r="K174">
        <v>0.55608020974434869</v>
      </c>
      <c r="L174">
        <v>0.54143534601072296</v>
      </c>
      <c r="M174">
        <v>0.53682002181659061</v>
      </c>
      <c r="N174">
        <v>0.54569822437083471</v>
      </c>
      <c r="O174">
        <v>0.37923541747094236</v>
      </c>
      <c r="P174" t="s">
        <v>179</v>
      </c>
      <c r="Q174" t="s">
        <v>179</v>
      </c>
      <c r="R174" t="s">
        <v>179</v>
      </c>
      <c r="S174" t="s">
        <v>179</v>
      </c>
      <c r="T174" t="s">
        <v>179</v>
      </c>
      <c r="U174" t="s">
        <v>179</v>
      </c>
      <c r="V174" t="s">
        <v>179</v>
      </c>
      <c r="W174">
        <v>0.53311730395333778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179</v>
      </c>
      <c r="AG174" t="s">
        <v>179</v>
      </c>
      <c r="AH174" t="s">
        <v>179</v>
      </c>
      <c r="AI174" t="s">
        <v>179</v>
      </c>
      <c r="AJ174" t="s">
        <v>179</v>
      </c>
      <c r="AK174" t="s">
        <v>179</v>
      </c>
      <c r="AL174" t="s">
        <v>179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 x14ac:dyDescent="0.2">
      <c r="A175" t="s">
        <v>224</v>
      </c>
      <c r="B175">
        <v>763</v>
      </c>
      <c r="C175" t="s">
        <v>32</v>
      </c>
      <c r="D175">
        <v>0.52496449034345072</v>
      </c>
      <c r="E175">
        <v>0.3276666667</v>
      </c>
      <c r="F175">
        <v>10</v>
      </c>
      <c r="G175" t="s">
        <v>179</v>
      </c>
      <c r="H175">
        <v>0.52496449034345072</v>
      </c>
      <c r="I175">
        <v>0.53902245463155851</v>
      </c>
      <c r="J175">
        <v>0.51835161484152015</v>
      </c>
      <c r="K175">
        <v>0.49073913796087931</v>
      </c>
      <c r="L175">
        <v>0.48905542652008072</v>
      </c>
      <c r="M175">
        <v>0.50954523238380811</v>
      </c>
      <c r="N175">
        <v>0.51290620879830207</v>
      </c>
      <c r="O175">
        <v>0.52013007122948285</v>
      </c>
      <c r="P175">
        <v>0.48964864094374627</v>
      </c>
      <c r="Q175">
        <v>0.42203903895125244</v>
      </c>
      <c r="R175">
        <v>0.3276666667</v>
      </c>
      <c r="S175" t="s">
        <v>179</v>
      </c>
      <c r="T175" t="s">
        <v>179</v>
      </c>
      <c r="U175" t="s">
        <v>179</v>
      </c>
      <c r="V175" t="s">
        <v>179</v>
      </c>
      <c r="W175" t="s">
        <v>179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179</v>
      </c>
      <c r="AJ175" t="s">
        <v>179</v>
      </c>
      <c r="AK175" t="s">
        <v>179</v>
      </c>
      <c r="AL175" t="s">
        <v>179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</row>
    <row r="176" spans="1:50" x14ac:dyDescent="0.2">
      <c r="A176" t="s">
        <v>225</v>
      </c>
      <c r="B176">
        <v>763</v>
      </c>
      <c r="C176" t="s">
        <v>65</v>
      </c>
      <c r="D176">
        <v>0.43372201975242369</v>
      </c>
      <c r="E176">
        <v>0.55690286167820457</v>
      </c>
      <c r="F176" t="s">
        <v>179</v>
      </c>
      <c r="G176" t="s">
        <v>179</v>
      </c>
      <c r="H176">
        <v>0.43372201975242369</v>
      </c>
      <c r="I176">
        <v>0.53490485098453122</v>
      </c>
      <c r="J176">
        <v>0.54144687264506408</v>
      </c>
      <c r="K176">
        <v>0.54220550199858919</v>
      </c>
      <c r="L176">
        <v>0.48340108885017419</v>
      </c>
      <c r="M176">
        <v>0.53932676108374389</v>
      </c>
      <c r="N176">
        <v>0.27560366361365535</v>
      </c>
      <c r="O176">
        <v>0.50909164994446265</v>
      </c>
      <c r="P176">
        <v>0.53494384973404252</v>
      </c>
      <c r="Q176">
        <v>0.50940369534989649</v>
      </c>
      <c r="R176">
        <v>0.54270610645825745</v>
      </c>
      <c r="S176">
        <v>0.52270041127979328</v>
      </c>
      <c r="T176">
        <v>0.56010579181001607</v>
      </c>
      <c r="U176">
        <v>0.5648412599859266</v>
      </c>
      <c r="V176">
        <v>0.55690286167820457</v>
      </c>
      <c r="W176" t="s">
        <v>179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</row>
    <row r="177" spans="1:50" x14ac:dyDescent="0.2">
      <c r="A177" t="s">
        <v>224</v>
      </c>
      <c r="B177">
        <v>763</v>
      </c>
      <c r="C177" t="s">
        <v>141</v>
      </c>
      <c r="D177">
        <v>0.55707802937504214</v>
      </c>
      <c r="E177">
        <v>0.38027378467388789</v>
      </c>
      <c r="F177">
        <v>10</v>
      </c>
      <c r="G177" t="s">
        <v>179</v>
      </c>
      <c r="H177">
        <v>0.55707802937504214</v>
      </c>
      <c r="I177">
        <v>0.54107735725510742</v>
      </c>
      <c r="J177">
        <v>0.52905568432810934</v>
      </c>
      <c r="K177">
        <v>0.51809992277045658</v>
      </c>
      <c r="L177">
        <v>0.47733056613568403</v>
      </c>
      <c r="M177">
        <v>0.53552281269400415</v>
      </c>
      <c r="N177">
        <v>0.5322924352706504</v>
      </c>
      <c r="O177">
        <v>0.47893020694838323</v>
      </c>
      <c r="P177">
        <v>0.46879205067520541</v>
      </c>
      <c r="Q177">
        <v>0.43697435657265932</v>
      </c>
      <c r="R177">
        <v>0.38027378467388789</v>
      </c>
      <c r="S177" t="s">
        <v>179</v>
      </c>
      <c r="T177" t="s">
        <v>179</v>
      </c>
      <c r="U177" t="s">
        <v>179</v>
      </c>
      <c r="V177" t="s">
        <v>179</v>
      </c>
      <c r="W177" t="s">
        <v>179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179</v>
      </c>
      <c r="AJ177" t="s">
        <v>179</v>
      </c>
      <c r="AK177" t="s">
        <v>179</v>
      </c>
      <c r="AL177" t="s">
        <v>179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</row>
    <row r="178" spans="1:50" x14ac:dyDescent="0.2">
      <c r="A178" t="s">
        <v>224</v>
      </c>
      <c r="B178">
        <v>764</v>
      </c>
      <c r="C178" t="s">
        <v>38</v>
      </c>
      <c r="D178">
        <v>0.53172765478907125</v>
      </c>
      <c r="E178">
        <v>0.28262522783195454</v>
      </c>
      <c r="F178">
        <v>9</v>
      </c>
      <c r="G178" t="s">
        <v>179</v>
      </c>
      <c r="H178">
        <v>0.53172765478907125</v>
      </c>
      <c r="I178">
        <v>0.52893328084363012</v>
      </c>
      <c r="J178">
        <v>0.49244333356741854</v>
      </c>
      <c r="K178">
        <v>0.52585340315349782</v>
      </c>
      <c r="L178">
        <v>0.49287966127555694</v>
      </c>
      <c r="M178">
        <v>0.52265328269126421</v>
      </c>
      <c r="N178">
        <v>0.53538475567816524</v>
      </c>
      <c r="O178">
        <v>0.46448446810175609</v>
      </c>
      <c r="P178">
        <v>0.45622045797282157</v>
      </c>
      <c r="Q178">
        <v>0.28262522783195454</v>
      </c>
      <c r="R178" t="s">
        <v>179</v>
      </c>
      <c r="S178" t="s">
        <v>179</v>
      </c>
      <c r="T178" t="s">
        <v>179</v>
      </c>
      <c r="U178" t="s">
        <v>179</v>
      </c>
      <c r="V178" t="s">
        <v>179</v>
      </c>
      <c r="W178" t="s">
        <v>179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s">
        <v>179</v>
      </c>
      <c r="AI178" t="s">
        <v>179</v>
      </c>
      <c r="AJ178" t="s">
        <v>179</v>
      </c>
      <c r="AK178" t="s">
        <v>179</v>
      </c>
      <c r="AL178" t="s">
        <v>179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</row>
    <row r="179" spans="1:50" x14ac:dyDescent="0.2">
      <c r="A179" t="s">
        <v>225</v>
      </c>
      <c r="B179">
        <v>764</v>
      </c>
      <c r="C179" t="s">
        <v>116</v>
      </c>
      <c r="D179">
        <v>0.58930358939145921</v>
      </c>
      <c r="E179">
        <v>0.58121817070686499</v>
      </c>
      <c r="F179" t="s">
        <v>179</v>
      </c>
      <c r="G179" t="s">
        <v>179</v>
      </c>
      <c r="H179">
        <v>0.58930358939145921</v>
      </c>
      <c r="I179">
        <v>0.57564989983004444</v>
      </c>
      <c r="J179">
        <v>0.58311153265599924</v>
      </c>
      <c r="K179">
        <v>0.57719355802930095</v>
      </c>
      <c r="L179">
        <v>0.57375047612004926</v>
      </c>
      <c r="M179">
        <v>0.57901307197191343</v>
      </c>
      <c r="N179">
        <v>0.59374673457985849</v>
      </c>
      <c r="O179">
        <v>0.59524920307420714</v>
      </c>
      <c r="P179">
        <v>0.57958981264637011</v>
      </c>
      <c r="Q179">
        <v>0.57730839660497091</v>
      </c>
      <c r="R179">
        <v>0.57397755155420371</v>
      </c>
      <c r="S179">
        <v>0.59943988253358793</v>
      </c>
      <c r="T179">
        <v>0.60746701392926916</v>
      </c>
      <c r="U179">
        <v>0.61633333333333329</v>
      </c>
      <c r="V179">
        <v>0.58121817070686499</v>
      </c>
      <c r="W179" t="s">
        <v>179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 x14ac:dyDescent="0.2">
      <c r="A180" t="s">
        <v>224</v>
      </c>
      <c r="B180">
        <v>764</v>
      </c>
      <c r="C180" t="s">
        <v>126</v>
      </c>
      <c r="D180">
        <v>0.51899177690920029</v>
      </c>
      <c r="E180">
        <v>0.20294311665872078</v>
      </c>
      <c r="F180">
        <v>9</v>
      </c>
      <c r="G180" t="s">
        <v>179</v>
      </c>
      <c r="H180">
        <v>0.51899177690920029</v>
      </c>
      <c r="I180">
        <v>0.54022591851119273</v>
      </c>
      <c r="J180">
        <v>0.52160493827160492</v>
      </c>
      <c r="K180">
        <v>0.5168053013261783</v>
      </c>
      <c r="L180">
        <v>0.50778950947764434</v>
      </c>
      <c r="M180">
        <v>0.51432111478016063</v>
      </c>
      <c r="N180">
        <v>0.53438086522335426</v>
      </c>
      <c r="O180">
        <v>0.51982655628359986</v>
      </c>
      <c r="P180">
        <v>0.37449902180558386</v>
      </c>
      <c r="Q180">
        <v>0.20294311665872078</v>
      </c>
      <c r="R180" t="s">
        <v>179</v>
      </c>
      <c r="S180" t="s">
        <v>179</v>
      </c>
      <c r="T180" t="s">
        <v>179</v>
      </c>
      <c r="U180" t="s">
        <v>179</v>
      </c>
      <c r="V180" t="s">
        <v>179</v>
      </c>
      <c r="W180" t="s">
        <v>179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s">
        <v>179</v>
      </c>
      <c r="AI180" t="s">
        <v>179</v>
      </c>
      <c r="AJ180" t="s">
        <v>179</v>
      </c>
      <c r="AK180" t="s">
        <v>179</v>
      </c>
      <c r="AL180" t="s">
        <v>179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1</v>
      </c>
      <c r="AX180">
        <v>1</v>
      </c>
    </row>
    <row r="181" spans="1:50" x14ac:dyDescent="0.2">
      <c r="A181" t="s">
        <v>224</v>
      </c>
      <c r="B181">
        <v>765</v>
      </c>
      <c r="C181" t="s">
        <v>20</v>
      </c>
      <c r="D181">
        <v>0.5261031605102745</v>
      </c>
      <c r="E181">
        <v>0.33062026570131842</v>
      </c>
      <c r="F181">
        <v>13</v>
      </c>
      <c r="G181" t="s">
        <v>179</v>
      </c>
      <c r="H181">
        <v>0.5261031605102745</v>
      </c>
      <c r="I181">
        <v>0.52500000000000002</v>
      </c>
      <c r="J181">
        <v>0.5099046221570066</v>
      </c>
      <c r="K181">
        <v>0.501</v>
      </c>
      <c r="L181">
        <v>0.46900000000000003</v>
      </c>
      <c r="M181">
        <v>0.5043333333333333</v>
      </c>
      <c r="N181">
        <v>0.50968567431392109</v>
      </c>
      <c r="O181">
        <v>0.5033333333333333</v>
      </c>
      <c r="P181">
        <v>0.48561934026375064</v>
      </c>
      <c r="Q181">
        <v>0.47390409480425716</v>
      </c>
      <c r="R181">
        <v>0.45133333333333336</v>
      </c>
      <c r="S181">
        <v>0.41966666666666663</v>
      </c>
      <c r="T181">
        <v>0.41066666666666668</v>
      </c>
      <c r="U181">
        <v>0.33062026570131842</v>
      </c>
      <c r="V181" t="s">
        <v>179</v>
      </c>
      <c r="W181" t="s">
        <v>179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 t="s">
        <v>179</v>
      </c>
      <c r="AM181">
        <v>0</v>
      </c>
      <c r="AN181">
        <v>0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</row>
    <row r="182" spans="1:50" x14ac:dyDescent="0.2">
      <c r="A182" t="s">
        <v>225</v>
      </c>
      <c r="B182">
        <v>765</v>
      </c>
      <c r="C182" t="s">
        <v>86</v>
      </c>
      <c r="D182">
        <v>0.53737045946060058</v>
      </c>
      <c r="E182">
        <v>0.54573421725378046</v>
      </c>
      <c r="F182" t="s">
        <v>179</v>
      </c>
      <c r="G182" t="s">
        <v>179</v>
      </c>
      <c r="H182">
        <v>0.53737045946060058</v>
      </c>
      <c r="I182">
        <v>0.5633579649596514</v>
      </c>
      <c r="J182">
        <v>0.54966611018363942</v>
      </c>
      <c r="K182">
        <v>0.51508003972037952</v>
      </c>
      <c r="L182">
        <v>0.48596881959910909</v>
      </c>
      <c r="M182">
        <v>0.5438530272334906</v>
      </c>
      <c r="N182">
        <v>0.5495714468466163</v>
      </c>
      <c r="O182">
        <v>0.55957027160898809</v>
      </c>
      <c r="P182">
        <v>0.55540950258536692</v>
      </c>
      <c r="Q182">
        <v>0.5306213435032785</v>
      </c>
      <c r="R182">
        <v>0.52577557304611988</v>
      </c>
      <c r="S182">
        <v>0.54002079219419397</v>
      </c>
      <c r="T182">
        <v>0.54843080357448271</v>
      </c>
      <c r="U182">
        <v>0.55276150627615062</v>
      </c>
      <c r="V182">
        <v>0.54573421725378046</v>
      </c>
      <c r="W182" t="s">
        <v>179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1</v>
      </c>
    </row>
    <row r="183" spans="1:50" x14ac:dyDescent="0.2">
      <c r="A183" t="s">
        <v>224</v>
      </c>
      <c r="B183">
        <v>765</v>
      </c>
      <c r="C183" t="s">
        <v>165</v>
      </c>
      <c r="D183">
        <v>0.53166666666666673</v>
      </c>
      <c r="E183">
        <v>0.53766666666666663</v>
      </c>
      <c r="F183" t="s">
        <v>179</v>
      </c>
      <c r="G183">
        <v>13</v>
      </c>
      <c r="H183">
        <v>0.53166666666666673</v>
      </c>
      <c r="I183">
        <v>0.53733333333333333</v>
      </c>
      <c r="J183">
        <v>0.5140216199279336</v>
      </c>
      <c r="K183">
        <v>0.52266666666666672</v>
      </c>
      <c r="L183">
        <v>0.52233333333333332</v>
      </c>
      <c r="M183">
        <v>0.56133333333333335</v>
      </c>
      <c r="N183">
        <v>0.54060109836065573</v>
      </c>
      <c r="O183">
        <v>0.56133333333333324</v>
      </c>
      <c r="P183">
        <v>0.55533333333333335</v>
      </c>
      <c r="Q183">
        <v>0.51158435824704174</v>
      </c>
      <c r="R183">
        <v>0.55448885245716051</v>
      </c>
      <c r="S183">
        <v>0.52703910447140345</v>
      </c>
      <c r="T183">
        <v>0.53766666666666663</v>
      </c>
      <c r="U183" t="s">
        <v>179</v>
      </c>
      <c r="V183" t="s">
        <v>179</v>
      </c>
      <c r="W183" t="s">
        <v>179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 t="s">
        <v>179</v>
      </c>
      <c r="AN183" t="s">
        <v>179</v>
      </c>
      <c r="AO183" t="s">
        <v>179</v>
      </c>
      <c r="AP183" t="s">
        <v>179</v>
      </c>
      <c r="AQ183" t="s">
        <v>179</v>
      </c>
      <c r="AR183" t="s">
        <v>179</v>
      </c>
      <c r="AS183" t="s">
        <v>179</v>
      </c>
      <c r="AT183" t="s">
        <v>179</v>
      </c>
      <c r="AU183" t="s">
        <v>179</v>
      </c>
      <c r="AV183" t="s">
        <v>179</v>
      </c>
      <c r="AW183" t="s">
        <v>179</v>
      </c>
      <c r="AX183" t="s">
        <v>179</v>
      </c>
    </row>
    <row r="184" spans="1:50" x14ac:dyDescent="0.2">
      <c r="A184" t="s">
        <v>224</v>
      </c>
      <c r="B184">
        <v>766</v>
      </c>
      <c r="C184" t="s">
        <v>17</v>
      </c>
      <c r="D184">
        <v>0.47153348871574069</v>
      </c>
      <c r="E184">
        <v>0.29015227094767981</v>
      </c>
      <c r="F184">
        <v>11</v>
      </c>
      <c r="G184" t="s">
        <v>179</v>
      </c>
      <c r="H184">
        <v>0.47153348871574069</v>
      </c>
      <c r="I184">
        <v>0.47226418838343565</v>
      </c>
      <c r="J184">
        <v>0.45288846411377415</v>
      </c>
      <c r="K184">
        <v>0.43912690671528415</v>
      </c>
      <c r="L184">
        <v>0.43721940123942676</v>
      </c>
      <c r="M184">
        <v>0.45818631928784453</v>
      </c>
      <c r="N184">
        <v>0.4779408520391713</v>
      </c>
      <c r="O184">
        <v>0.4621324441939782</v>
      </c>
      <c r="P184">
        <v>0.45581077760205035</v>
      </c>
      <c r="Q184">
        <v>0.42708134723884528</v>
      </c>
      <c r="R184">
        <v>0.34809734892978111</v>
      </c>
      <c r="S184">
        <v>0.29015227094767981</v>
      </c>
      <c r="T184" t="s">
        <v>179</v>
      </c>
      <c r="U184" t="s">
        <v>179</v>
      </c>
      <c r="V184" t="s">
        <v>179</v>
      </c>
      <c r="W184" t="s">
        <v>179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179</v>
      </c>
      <c r="AK184" t="s">
        <v>179</v>
      </c>
      <c r="AL184" t="s">
        <v>179</v>
      </c>
      <c r="AM184">
        <v>0</v>
      </c>
      <c r="AN184">
        <v>0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</row>
    <row r="185" spans="1:50" x14ac:dyDescent="0.2">
      <c r="A185" t="s">
        <v>225</v>
      </c>
      <c r="B185">
        <v>766</v>
      </c>
      <c r="C185" t="s">
        <v>79</v>
      </c>
      <c r="D185">
        <v>0.534329829172142</v>
      </c>
      <c r="E185">
        <v>0.54779290526216606</v>
      </c>
      <c r="F185" t="s">
        <v>179</v>
      </c>
      <c r="G185" t="s">
        <v>179</v>
      </c>
      <c r="H185">
        <v>0.534329829172142</v>
      </c>
      <c r="I185">
        <v>0.52013999609903605</v>
      </c>
      <c r="J185">
        <v>0.50815246422365035</v>
      </c>
      <c r="K185">
        <v>0.52849980099994354</v>
      </c>
      <c r="L185">
        <v>0.48202698278902578</v>
      </c>
      <c r="M185">
        <v>0.52365231830268899</v>
      </c>
      <c r="N185">
        <v>0.537614096856873</v>
      </c>
      <c r="O185">
        <v>0.54556865761613549</v>
      </c>
      <c r="P185">
        <v>0.5305352469812491</v>
      </c>
      <c r="Q185">
        <v>0.5217796825006048</v>
      </c>
      <c r="R185">
        <v>0.51923322683706075</v>
      </c>
      <c r="S185">
        <v>0.52079895902982276</v>
      </c>
      <c r="T185">
        <v>0.55049504282981832</v>
      </c>
      <c r="U185">
        <v>0.55347809459057484</v>
      </c>
      <c r="V185">
        <v>0.54779290526216606</v>
      </c>
      <c r="W185">
        <v>0.43042402525381801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 x14ac:dyDescent="0.2">
      <c r="A186" t="s">
        <v>224</v>
      </c>
      <c r="B186">
        <v>766</v>
      </c>
      <c r="C186" t="s">
        <v>169</v>
      </c>
      <c r="D186">
        <v>0.48188465918606593</v>
      </c>
      <c r="E186">
        <v>0.33400000000000002</v>
      </c>
      <c r="F186">
        <v>11</v>
      </c>
      <c r="G186" t="s">
        <v>179</v>
      </c>
      <c r="H186">
        <v>0.48188465918606593</v>
      </c>
      <c r="I186">
        <v>0.48797729885351615</v>
      </c>
      <c r="J186">
        <v>0.46381578732479717</v>
      </c>
      <c r="K186">
        <v>0.45152999635551133</v>
      </c>
      <c r="L186">
        <v>0.46307558644656815</v>
      </c>
      <c r="M186">
        <v>0.45177743950334376</v>
      </c>
      <c r="N186">
        <v>0.46823857633189075</v>
      </c>
      <c r="O186">
        <v>0.45133333333333336</v>
      </c>
      <c r="P186">
        <v>0.39466666666666667</v>
      </c>
      <c r="Q186">
        <v>0.41033333333333327</v>
      </c>
      <c r="R186">
        <v>0.38125880133982309</v>
      </c>
      <c r="S186">
        <v>0.33400000000000002</v>
      </c>
      <c r="T186" t="s">
        <v>179</v>
      </c>
      <c r="U186" t="s">
        <v>179</v>
      </c>
      <c r="V186" t="s">
        <v>179</v>
      </c>
      <c r="W186" t="s">
        <v>179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179</v>
      </c>
      <c r="AK186" t="s">
        <v>179</v>
      </c>
      <c r="AL186" t="s">
        <v>179</v>
      </c>
      <c r="AM186">
        <v>0</v>
      </c>
      <c r="AN186">
        <v>0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</row>
    <row r="187" spans="1:50" x14ac:dyDescent="0.2">
      <c r="A187" t="s">
        <v>224</v>
      </c>
      <c r="B187">
        <v>767</v>
      </c>
      <c r="C187" t="s">
        <v>42</v>
      </c>
      <c r="D187">
        <v>0.50372050505947807</v>
      </c>
      <c r="E187">
        <v>0.316627358490566</v>
      </c>
      <c r="F187">
        <v>10</v>
      </c>
      <c r="G187" t="s">
        <v>179</v>
      </c>
      <c r="H187">
        <v>0.50372050505947807</v>
      </c>
      <c r="I187">
        <v>0.51399009035266685</v>
      </c>
      <c r="J187">
        <v>0.49337467120043338</v>
      </c>
      <c r="K187">
        <v>0.49429276096113256</v>
      </c>
      <c r="L187">
        <v>0.48116786186821914</v>
      </c>
      <c r="M187">
        <v>0.49277174103237098</v>
      </c>
      <c r="N187">
        <v>0.51075648285696795</v>
      </c>
      <c r="O187">
        <v>0.49751475635122461</v>
      </c>
      <c r="P187">
        <v>0.45746738483937993</v>
      </c>
      <c r="Q187">
        <v>0.37571512260901768</v>
      </c>
      <c r="R187">
        <v>0.316627358490566</v>
      </c>
      <c r="S187" t="s">
        <v>179</v>
      </c>
      <c r="T187" t="s">
        <v>179</v>
      </c>
      <c r="U187" t="s">
        <v>179</v>
      </c>
      <c r="V187" t="s">
        <v>179</v>
      </c>
      <c r="W187" t="s">
        <v>179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 t="s">
        <v>179</v>
      </c>
      <c r="AJ187" t="s">
        <v>179</v>
      </c>
      <c r="AK187" t="s">
        <v>179</v>
      </c>
      <c r="AL187" t="s">
        <v>179</v>
      </c>
      <c r="AM187">
        <v>0</v>
      </c>
      <c r="AN187">
        <v>0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</row>
    <row r="188" spans="1:50" x14ac:dyDescent="0.2">
      <c r="A188" t="s">
        <v>225</v>
      </c>
      <c r="B188">
        <v>767</v>
      </c>
      <c r="C188" t="s">
        <v>101</v>
      </c>
      <c r="D188">
        <v>0.52681463803858986</v>
      </c>
      <c r="E188">
        <v>0.54727243641017431</v>
      </c>
      <c r="F188" t="s">
        <v>179</v>
      </c>
      <c r="G188" t="s">
        <v>179</v>
      </c>
      <c r="H188">
        <v>0.52681463803858986</v>
      </c>
      <c r="I188">
        <v>0.53183163139931744</v>
      </c>
      <c r="J188">
        <v>0.55555995859488594</v>
      </c>
      <c r="K188">
        <v>0.56062372125798221</v>
      </c>
      <c r="L188">
        <v>0.52862960608327103</v>
      </c>
      <c r="M188">
        <v>0.53555159833630428</v>
      </c>
      <c r="N188">
        <v>0.55193370165745859</v>
      </c>
      <c r="O188">
        <v>0.58216050150531706</v>
      </c>
      <c r="P188">
        <v>0.55454875836150952</v>
      </c>
      <c r="Q188">
        <v>0.5641255233404231</v>
      </c>
      <c r="R188">
        <v>0.55780427659318155</v>
      </c>
      <c r="S188">
        <v>0.55793942175309785</v>
      </c>
      <c r="T188">
        <v>0.55610405500705218</v>
      </c>
      <c r="U188">
        <v>0.56376453719929898</v>
      </c>
      <c r="V188">
        <v>0.54727243641017431</v>
      </c>
      <c r="W188">
        <v>0.50824587706146929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 x14ac:dyDescent="0.2">
      <c r="A189" t="s">
        <v>224</v>
      </c>
      <c r="B189">
        <v>767</v>
      </c>
      <c r="C189" t="s">
        <v>149</v>
      </c>
      <c r="D189">
        <v>0.53028698258120821</v>
      </c>
      <c r="E189">
        <v>0.33616454909332766</v>
      </c>
      <c r="F189">
        <v>11</v>
      </c>
      <c r="G189" t="s">
        <v>179</v>
      </c>
      <c r="H189">
        <v>0.53028698258120821</v>
      </c>
      <c r="I189">
        <v>0.52971913545555516</v>
      </c>
      <c r="J189">
        <v>0.51207642980524315</v>
      </c>
      <c r="K189">
        <v>0.51481098624870625</v>
      </c>
      <c r="L189">
        <v>0.50046205988355974</v>
      </c>
      <c r="M189">
        <v>0.49689385117671059</v>
      </c>
      <c r="N189">
        <v>0.52002318712083839</v>
      </c>
      <c r="O189">
        <v>0.49687958157529488</v>
      </c>
      <c r="P189">
        <v>0.49583710366248224</v>
      </c>
      <c r="Q189">
        <v>0.46206686002137082</v>
      </c>
      <c r="R189">
        <v>0.42052491139923892</v>
      </c>
      <c r="S189">
        <v>0.33616454909332766</v>
      </c>
      <c r="T189" t="s">
        <v>179</v>
      </c>
      <c r="U189" t="s">
        <v>179</v>
      </c>
      <c r="V189" t="s">
        <v>179</v>
      </c>
      <c r="W189" t="s">
        <v>179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179</v>
      </c>
      <c r="AK189" t="s">
        <v>179</v>
      </c>
      <c r="AL189" t="s">
        <v>179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 x14ac:dyDescent="0.2">
      <c r="A190" t="s">
        <v>224</v>
      </c>
      <c r="B190">
        <v>768</v>
      </c>
      <c r="C190" t="s">
        <v>48</v>
      </c>
      <c r="D190">
        <v>0.5317950709814373</v>
      </c>
      <c r="E190">
        <v>0.26633333333333337</v>
      </c>
      <c r="F190">
        <v>14</v>
      </c>
      <c r="G190" t="s">
        <v>179</v>
      </c>
      <c r="H190">
        <v>0.5317950709814373</v>
      </c>
      <c r="I190">
        <v>0.55072760069034432</v>
      </c>
      <c r="J190">
        <v>0.51709612670277361</v>
      </c>
      <c r="K190">
        <v>0.51451149425287357</v>
      </c>
      <c r="L190">
        <v>0.50929291131684451</v>
      </c>
      <c r="M190">
        <v>0.51932246910727964</v>
      </c>
      <c r="N190">
        <v>0.52713841327199507</v>
      </c>
      <c r="O190">
        <v>0.52265523842384809</v>
      </c>
      <c r="P190">
        <v>0.51445646906800191</v>
      </c>
      <c r="Q190">
        <v>0.51136036238136329</v>
      </c>
      <c r="R190">
        <v>0.48479076887534495</v>
      </c>
      <c r="S190">
        <v>0.43231336130678272</v>
      </c>
      <c r="T190">
        <v>0.41382314415648686</v>
      </c>
      <c r="U190">
        <v>0.41060094105135525</v>
      </c>
      <c r="V190">
        <v>0.26633333333333337</v>
      </c>
      <c r="W190">
        <v>0.48846453624318004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 x14ac:dyDescent="0.2">
      <c r="A191" t="s">
        <v>225</v>
      </c>
      <c r="B191">
        <v>768</v>
      </c>
      <c r="C191" t="s">
        <v>68</v>
      </c>
      <c r="D191">
        <v>0.54414844174815391</v>
      </c>
      <c r="E191">
        <v>0.56588759738366046</v>
      </c>
      <c r="F191" t="s">
        <v>179</v>
      </c>
      <c r="G191" t="s">
        <v>179</v>
      </c>
      <c r="H191">
        <v>0.54414844174815391</v>
      </c>
      <c r="I191">
        <v>0.52793667248244802</v>
      </c>
      <c r="J191">
        <v>0.5231293934806297</v>
      </c>
      <c r="K191">
        <v>0.54546223039837605</v>
      </c>
      <c r="L191">
        <v>0.51071357141077123</v>
      </c>
      <c r="M191">
        <v>0.53528628272600576</v>
      </c>
      <c r="N191">
        <v>0.55364711330070437</v>
      </c>
      <c r="O191">
        <v>0.56651539090429537</v>
      </c>
      <c r="P191">
        <v>0.55029993920233466</v>
      </c>
      <c r="Q191">
        <v>0.55363279009052868</v>
      </c>
      <c r="R191">
        <v>0.52951865929118558</v>
      </c>
      <c r="S191">
        <v>0.5303577041293599</v>
      </c>
      <c r="T191">
        <v>0.55810160916580842</v>
      </c>
      <c r="U191">
        <v>0.56662906864324847</v>
      </c>
      <c r="V191">
        <v>0.56588759738366046</v>
      </c>
      <c r="W191">
        <v>0.49895724713242956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 x14ac:dyDescent="0.2">
      <c r="A192" t="s">
        <v>224</v>
      </c>
      <c r="B192">
        <v>768</v>
      </c>
      <c r="C192" t="s">
        <v>161</v>
      </c>
      <c r="D192">
        <v>0.51929760877382247</v>
      </c>
      <c r="E192">
        <v>0.35466666666666669</v>
      </c>
      <c r="F192">
        <v>14</v>
      </c>
      <c r="G192" t="s">
        <v>179</v>
      </c>
      <c r="H192">
        <v>0.51929760877382247</v>
      </c>
      <c r="I192">
        <v>0.52968502971215969</v>
      </c>
      <c r="J192">
        <v>0.50338490991667739</v>
      </c>
      <c r="K192">
        <v>0.48390406980611467</v>
      </c>
      <c r="L192">
        <v>0.49683712878458641</v>
      </c>
      <c r="M192">
        <v>0.49601291765411876</v>
      </c>
      <c r="N192">
        <v>0.50530202852349004</v>
      </c>
      <c r="O192">
        <v>0.51230402599779867</v>
      </c>
      <c r="P192">
        <v>0.49231477446992528</v>
      </c>
      <c r="Q192">
        <v>0.49203143097643093</v>
      </c>
      <c r="R192">
        <v>0.47842665562913911</v>
      </c>
      <c r="S192">
        <v>0.45032793005952093</v>
      </c>
      <c r="T192">
        <v>0.41593352272727274</v>
      </c>
      <c r="U192">
        <v>0.3745650115670951</v>
      </c>
      <c r="V192">
        <v>0.35466666666666669</v>
      </c>
      <c r="W192" t="s">
        <v>179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1</v>
      </c>
    </row>
    <row r="193" spans="1:50" x14ac:dyDescent="0.2">
      <c r="A193" t="s">
        <v>224</v>
      </c>
      <c r="B193">
        <v>769</v>
      </c>
      <c r="C193" t="s">
        <v>19</v>
      </c>
      <c r="D193">
        <v>0.56755727503097742</v>
      </c>
      <c r="E193">
        <v>0.28634720355924764</v>
      </c>
      <c r="F193">
        <v>8</v>
      </c>
      <c r="G193" t="s">
        <v>179</v>
      </c>
      <c r="H193">
        <v>0.56755727503097742</v>
      </c>
      <c r="I193">
        <v>0.56161470081180831</v>
      </c>
      <c r="J193">
        <v>0.52205024635826225</v>
      </c>
      <c r="K193">
        <v>0.51471377242716354</v>
      </c>
      <c r="L193">
        <v>0.50198190111790786</v>
      </c>
      <c r="M193">
        <v>0.52914110429447847</v>
      </c>
      <c r="N193">
        <v>0.51729022898656718</v>
      </c>
      <c r="O193">
        <v>0.509504818859421</v>
      </c>
      <c r="P193">
        <v>0.28634720355924764</v>
      </c>
      <c r="Q193" t="s">
        <v>179</v>
      </c>
      <c r="R193" t="s">
        <v>179</v>
      </c>
      <c r="S193" t="s">
        <v>179</v>
      </c>
      <c r="T193" t="s">
        <v>179</v>
      </c>
      <c r="U193" t="s">
        <v>179</v>
      </c>
      <c r="V193" t="s">
        <v>179</v>
      </c>
      <c r="W193" t="s">
        <v>179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179</v>
      </c>
      <c r="AH193" t="s">
        <v>179</v>
      </c>
      <c r="AI193" t="s">
        <v>179</v>
      </c>
      <c r="AJ193" t="s">
        <v>179</v>
      </c>
      <c r="AK193" t="s">
        <v>179</v>
      </c>
      <c r="AL193" t="s">
        <v>179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</row>
    <row r="194" spans="1:50" x14ac:dyDescent="0.2">
      <c r="A194" t="s">
        <v>225</v>
      </c>
      <c r="B194">
        <v>769</v>
      </c>
      <c r="C194" t="s">
        <v>81</v>
      </c>
      <c r="D194">
        <v>0.56620209059233451</v>
      </c>
      <c r="E194">
        <v>0.5618049225159526</v>
      </c>
      <c r="F194" t="s">
        <v>179</v>
      </c>
      <c r="G194" t="s">
        <v>179</v>
      </c>
      <c r="H194">
        <v>0.56620209059233451</v>
      </c>
      <c r="I194">
        <v>0.56130020106276035</v>
      </c>
      <c r="J194">
        <v>0.55882662153652396</v>
      </c>
      <c r="K194">
        <v>0.56932547213066387</v>
      </c>
      <c r="L194">
        <v>0.53409997402440756</v>
      </c>
      <c r="M194">
        <v>0.57390427452400616</v>
      </c>
      <c r="N194">
        <v>0.57581755776326349</v>
      </c>
      <c r="O194">
        <v>0.5845448366391458</v>
      </c>
      <c r="P194">
        <v>0.56662897754805364</v>
      </c>
      <c r="Q194">
        <v>0.55284726136409434</v>
      </c>
      <c r="R194">
        <v>0.54509633847484507</v>
      </c>
      <c r="S194">
        <v>0.53344192210869246</v>
      </c>
      <c r="T194">
        <v>0.57185322539780192</v>
      </c>
      <c r="U194">
        <v>0.58096740273396419</v>
      </c>
      <c r="V194">
        <v>0.5618049225159526</v>
      </c>
      <c r="W194" t="s">
        <v>179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</row>
    <row r="195" spans="1:50" x14ac:dyDescent="0.2">
      <c r="A195" t="s">
        <v>224</v>
      </c>
      <c r="B195">
        <v>769</v>
      </c>
      <c r="C195" t="s">
        <v>159</v>
      </c>
      <c r="D195">
        <v>0.56892914851577647</v>
      </c>
      <c r="E195">
        <v>0.33766666666666673</v>
      </c>
      <c r="F195">
        <v>9</v>
      </c>
      <c r="G195" t="s">
        <v>179</v>
      </c>
      <c r="H195">
        <v>0.56892914851577647</v>
      </c>
      <c r="I195">
        <v>0.56896396607495714</v>
      </c>
      <c r="J195">
        <v>0.53998825528700911</v>
      </c>
      <c r="K195">
        <v>0.51724588450483411</v>
      </c>
      <c r="L195">
        <v>0.5204559848005067</v>
      </c>
      <c r="M195">
        <v>0.52242471242083499</v>
      </c>
      <c r="N195">
        <v>0.50570490748679708</v>
      </c>
      <c r="O195">
        <v>0.5037880528794263</v>
      </c>
      <c r="P195">
        <v>0.49007315047021949</v>
      </c>
      <c r="Q195">
        <v>0.33766666666666673</v>
      </c>
      <c r="R195" t="s">
        <v>179</v>
      </c>
      <c r="S195" t="s">
        <v>179</v>
      </c>
      <c r="T195" t="s">
        <v>179</v>
      </c>
      <c r="U195" t="s">
        <v>179</v>
      </c>
      <c r="V195" t="s">
        <v>179</v>
      </c>
      <c r="W195" t="s">
        <v>179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s">
        <v>179</v>
      </c>
      <c r="AI195" t="s">
        <v>179</v>
      </c>
      <c r="AJ195" t="s">
        <v>179</v>
      </c>
      <c r="AK195" t="s">
        <v>179</v>
      </c>
      <c r="AL195" t="s">
        <v>179</v>
      </c>
      <c r="AM195">
        <v>0</v>
      </c>
      <c r="AN195">
        <v>0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</row>
    <row r="196" spans="1:50" x14ac:dyDescent="0.2">
      <c r="A196" t="s">
        <v>224</v>
      </c>
      <c r="B196">
        <v>770</v>
      </c>
      <c r="C196" t="s">
        <v>41</v>
      </c>
      <c r="D196">
        <v>0.49113659793020914</v>
      </c>
      <c r="E196">
        <v>0.32766666666666666</v>
      </c>
      <c r="F196">
        <v>5</v>
      </c>
      <c r="G196" t="s">
        <v>179</v>
      </c>
      <c r="H196">
        <v>0.49113659793020914</v>
      </c>
      <c r="I196">
        <v>0.5052880383734828</v>
      </c>
      <c r="J196">
        <v>0.47244245826369857</v>
      </c>
      <c r="K196">
        <v>0.47505728891239202</v>
      </c>
      <c r="L196">
        <v>0.46225054579961494</v>
      </c>
      <c r="M196">
        <v>0.32766666666666666</v>
      </c>
      <c r="N196" t="s">
        <v>179</v>
      </c>
      <c r="O196" t="s">
        <v>179</v>
      </c>
      <c r="P196" t="s">
        <v>179</v>
      </c>
      <c r="Q196" t="s">
        <v>179</v>
      </c>
      <c r="R196" t="s">
        <v>179</v>
      </c>
      <c r="S196" t="s">
        <v>179</v>
      </c>
      <c r="T196" t="s">
        <v>179</v>
      </c>
      <c r="U196" t="s">
        <v>179</v>
      </c>
      <c r="V196" t="s">
        <v>179</v>
      </c>
      <c r="W196" t="s">
        <v>179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179</v>
      </c>
      <c r="AE196" t="s">
        <v>179</v>
      </c>
      <c r="AF196" t="s">
        <v>179</v>
      </c>
      <c r="AG196" t="s">
        <v>179</v>
      </c>
      <c r="AH196" t="s">
        <v>179</v>
      </c>
      <c r="AI196" t="s">
        <v>179</v>
      </c>
      <c r="AJ196" t="s">
        <v>179</v>
      </c>
      <c r="AK196" t="s">
        <v>179</v>
      </c>
      <c r="AL196" t="s">
        <v>179</v>
      </c>
      <c r="AM196">
        <v>0</v>
      </c>
      <c r="AN196">
        <v>0</v>
      </c>
      <c r="AO196">
        <v>0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</row>
    <row r="197" spans="1:50" x14ac:dyDescent="0.2">
      <c r="A197" t="s">
        <v>225</v>
      </c>
      <c r="B197">
        <v>770</v>
      </c>
      <c r="C197" t="s">
        <v>78</v>
      </c>
      <c r="D197">
        <v>0.55311396193279039</v>
      </c>
      <c r="E197">
        <v>0.56604235524544011</v>
      </c>
      <c r="F197" t="s">
        <v>179</v>
      </c>
      <c r="G197" t="s">
        <v>179</v>
      </c>
      <c r="H197">
        <v>0.55311396193279039</v>
      </c>
      <c r="I197">
        <v>0.53312055231751321</v>
      </c>
      <c r="J197">
        <v>0.53449358955765047</v>
      </c>
      <c r="K197">
        <v>0.55039525040601534</v>
      </c>
      <c r="L197">
        <v>0.49528694205711121</v>
      </c>
      <c r="M197">
        <v>0.53094981060068835</v>
      </c>
      <c r="N197">
        <v>0.56096377571540978</v>
      </c>
      <c r="O197">
        <v>0.56723831154071525</v>
      </c>
      <c r="P197">
        <v>0.55122088307918338</v>
      </c>
      <c r="Q197">
        <v>0.55724111394285281</v>
      </c>
      <c r="R197">
        <v>0.5572833633607408</v>
      </c>
      <c r="S197">
        <v>0.55197560278511637</v>
      </c>
      <c r="T197">
        <v>0.5668357406919482</v>
      </c>
      <c r="U197">
        <v>0.56966884623497149</v>
      </c>
      <c r="V197">
        <v>0.56604235524544011</v>
      </c>
      <c r="W197" t="s">
        <v>179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 x14ac:dyDescent="0.2">
      <c r="A198" t="s">
        <v>224</v>
      </c>
      <c r="B198">
        <v>770</v>
      </c>
      <c r="C198" t="s">
        <v>173</v>
      </c>
      <c r="D198">
        <v>0.54397547279355718</v>
      </c>
      <c r="E198">
        <v>0.30733333333333329</v>
      </c>
      <c r="F198">
        <v>5</v>
      </c>
      <c r="G198" t="s">
        <v>179</v>
      </c>
      <c r="H198">
        <v>0.54397547279355718</v>
      </c>
      <c r="I198">
        <v>0.53241832155885316</v>
      </c>
      <c r="J198">
        <v>0.50132625994694968</v>
      </c>
      <c r="K198">
        <v>0.50962911633931385</v>
      </c>
      <c r="L198">
        <v>0.487934898989899</v>
      </c>
      <c r="M198">
        <v>0.30733333333333329</v>
      </c>
      <c r="N198" t="s">
        <v>179</v>
      </c>
      <c r="O198" t="s">
        <v>179</v>
      </c>
      <c r="P198" t="s">
        <v>179</v>
      </c>
      <c r="Q198" t="s">
        <v>179</v>
      </c>
      <c r="R198" t="s">
        <v>179</v>
      </c>
      <c r="S198" t="s">
        <v>179</v>
      </c>
      <c r="T198" t="s">
        <v>179</v>
      </c>
      <c r="U198" t="s">
        <v>179</v>
      </c>
      <c r="V198" t="s">
        <v>179</v>
      </c>
      <c r="W198" t="s">
        <v>179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179</v>
      </c>
      <c r="AE198" t="s">
        <v>179</v>
      </c>
      <c r="AF198" t="s">
        <v>179</v>
      </c>
      <c r="AG198" t="s">
        <v>179</v>
      </c>
      <c r="AH198" t="s">
        <v>179</v>
      </c>
      <c r="AI198" t="s">
        <v>179</v>
      </c>
      <c r="AJ198" t="s">
        <v>179</v>
      </c>
      <c r="AK198" t="s">
        <v>179</v>
      </c>
      <c r="AL198" t="s">
        <v>179</v>
      </c>
      <c r="AM198">
        <v>0</v>
      </c>
      <c r="AN198">
        <v>0</v>
      </c>
      <c r="AO198">
        <v>0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</row>
    <row r="199" spans="1:50" x14ac:dyDescent="0.2">
      <c r="A199" t="s">
        <v>224</v>
      </c>
      <c r="B199">
        <v>771</v>
      </c>
      <c r="C199" t="s">
        <v>10</v>
      </c>
      <c r="D199">
        <v>0.55082548096602535</v>
      </c>
      <c r="E199">
        <v>0.38096936874916876</v>
      </c>
      <c r="F199">
        <v>9</v>
      </c>
      <c r="G199" t="s">
        <v>179</v>
      </c>
      <c r="H199">
        <v>0.55082548096602535</v>
      </c>
      <c r="I199">
        <v>0.53069330646574386</v>
      </c>
      <c r="J199">
        <v>0.49892213015359743</v>
      </c>
      <c r="K199">
        <v>0.49844957150842634</v>
      </c>
      <c r="L199">
        <v>0.46599385403376264</v>
      </c>
      <c r="M199">
        <v>0.46907923997411388</v>
      </c>
      <c r="N199">
        <v>0.47599999999999998</v>
      </c>
      <c r="O199">
        <v>0.46700000000000003</v>
      </c>
      <c r="P199">
        <v>0.44003771842794348</v>
      </c>
      <c r="Q199">
        <v>0.38096936874916876</v>
      </c>
      <c r="R199" t="s">
        <v>179</v>
      </c>
      <c r="S199" t="s">
        <v>179</v>
      </c>
      <c r="T199" t="s">
        <v>179</v>
      </c>
      <c r="U199" t="s">
        <v>179</v>
      </c>
      <c r="V199" t="s">
        <v>179</v>
      </c>
      <c r="W199" t="s">
        <v>179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s">
        <v>179</v>
      </c>
      <c r="AI199" t="s">
        <v>179</v>
      </c>
      <c r="AJ199" t="s">
        <v>179</v>
      </c>
      <c r="AK199" t="s">
        <v>179</v>
      </c>
      <c r="AL199" t="s">
        <v>179</v>
      </c>
      <c r="AM199">
        <v>0</v>
      </c>
      <c r="AN199">
        <v>0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</row>
    <row r="200" spans="1:50" x14ac:dyDescent="0.2">
      <c r="A200" t="s">
        <v>225</v>
      </c>
      <c r="B200">
        <v>771</v>
      </c>
      <c r="C200" t="s">
        <v>61</v>
      </c>
      <c r="D200">
        <v>0.5525808068017366</v>
      </c>
      <c r="E200">
        <v>0.50782733665246627</v>
      </c>
      <c r="F200" t="s">
        <v>179</v>
      </c>
      <c r="G200" t="s">
        <v>179</v>
      </c>
      <c r="H200">
        <v>0.5525808068017366</v>
      </c>
      <c r="I200">
        <v>0.5204145634051901</v>
      </c>
      <c r="J200">
        <v>0.4964862439679833</v>
      </c>
      <c r="K200">
        <v>0.55723220767016879</v>
      </c>
      <c r="L200">
        <v>0.51923459995632149</v>
      </c>
      <c r="M200">
        <v>0.52102251025946256</v>
      </c>
      <c r="N200">
        <v>0.55775025798579436</v>
      </c>
      <c r="O200">
        <v>0.55642263053348473</v>
      </c>
      <c r="P200">
        <v>0.55583092386066357</v>
      </c>
      <c r="Q200">
        <v>0.54521227111096071</v>
      </c>
      <c r="R200">
        <v>0.51806925448928298</v>
      </c>
      <c r="S200">
        <v>0.53955881094299252</v>
      </c>
      <c r="T200">
        <v>0.55502625196882294</v>
      </c>
      <c r="U200">
        <v>0.55351592851592846</v>
      </c>
      <c r="V200">
        <v>0.50782733665246627</v>
      </c>
      <c r="W200" t="s">
        <v>179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 x14ac:dyDescent="0.2">
      <c r="A201" t="s">
        <v>224</v>
      </c>
      <c r="B201">
        <v>771</v>
      </c>
      <c r="C201" t="s">
        <v>134</v>
      </c>
      <c r="D201">
        <v>0.53652393383053498</v>
      </c>
      <c r="E201">
        <v>0.43319709064679013</v>
      </c>
      <c r="F201" t="s">
        <v>179</v>
      </c>
      <c r="G201">
        <v>10</v>
      </c>
      <c r="H201">
        <v>0.53652393383053498</v>
      </c>
      <c r="I201">
        <v>0.54807103213760577</v>
      </c>
      <c r="J201">
        <v>0.51475255386594898</v>
      </c>
      <c r="K201">
        <v>0.51322588266962432</v>
      </c>
      <c r="L201">
        <v>0.5201561953473024</v>
      </c>
      <c r="M201">
        <v>0.49734029070259367</v>
      </c>
      <c r="N201">
        <v>0.50118808261743741</v>
      </c>
      <c r="O201">
        <v>0.48264005749070005</v>
      </c>
      <c r="P201">
        <v>0.47148358701632126</v>
      </c>
      <c r="Q201">
        <v>0.43319709064679013</v>
      </c>
      <c r="R201" t="s">
        <v>179</v>
      </c>
      <c r="S201" t="s">
        <v>179</v>
      </c>
      <c r="T201" t="s">
        <v>179</v>
      </c>
      <c r="U201" t="s">
        <v>179</v>
      </c>
      <c r="V201" t="s">
        <v>179</v>
      </c>
      <c r="W201" t="s">
        <v>179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1</v>
      </c>
      <c r="AJ201">
        <v>1</v>
      </c>
      <c r="AK201">
        <v>1</v>
      </c>
      <c r="AL201">
        <v>1</v>
      </c>
      <c r="AM201" t="s">
        <v>179</v>
      </c>
      <c r="AN201" t="s">
        <v>179</v>
      </c>
      <c r="AO201" t="s">
        <v>179</v>
      </c>
      <c r="AP201" t="s">
        <v>179</v>
      </c>
      <c r="AQ201" t="s">
        <v>179</v>
      </c>
      <c r="AR201" t="s">
        <v>179</v>
      </c>
      <c r="AS201" t="s">
        <v>179</v>
      </c>
      <c r="AT201" t="s">
        <v>179</v>
      </c>
      <c r="AU201" t="s">
        <v>179</v>
      </c>
      <c r="AV201" t="s">
        <v>179</v>
      </c>
      <c r="AW201" t="s">
        <v>179</v>
      </c>
      <c r="AX201" t="s">
        <v>179</v>
      </c>
    </row>
    <row r="202" spans="1:50" x14ac:dyDescent="0.2">
      <c r="A202" t="s">
        <v>224</v>
      </c>
      <c r="B202">
        <v>772</v>
      </c>
      <c r="C202" t="s">
        <v>44</v>
      </c>
      <c r="D202">
        <v>0.53805879983890459</v>
      </c>
      <c r="E202">
        <v>0.24366666666666667</v>
      </c>
      <c r="F202">
        <v>10</v>
      </c>
      <c r="G202" t="s">
        <v>179</v>
      </c>
      <c r="H202">
        <v>0.53805879983890459</v>
      </c>
      <c r="I202">
        <v>0.5322378353472289</v>
      </c>
      <c r="J202">
        <v>0.50738052631578956</v>
      </c>
      <c r="K202">
        <v>0.5034536084315826</v>
      </c>
      <c r="L202">
        <v>0.49293243587046265</v>
      </c>
      <c r="M202">
        <v>0.49017739308356589</v>
      </c>
      <c r="N202">
        <v>0.49499999999999994</v>
      </c>
      <c r="O202">
        <v>0.48933333333333334</v>
      </c>
      <c r="P202">
        <v>0.47453593839519309</v>
      </c>
      <c r="Q202">
        <v>0.4217518217390378</v>
      </c>
      <c r="R202">
        <v>0.24366666666666667</v>
      </c>
      <c r="S202" t="s">
        <v>179</v>
      </c>
      <c r="T202" t="s">
        <v>179</v>
      </c>
      <c r="U202" t="s">
        <v>179</v>
      </c>
      <c r="V202" t="s">
        <v>179</v>
      </c>
      <c r="W202" t="s">
        <v>179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179</v>
      </c>
      <c r="AJ202" t="s">
        <v>179</v>
      </c>
      <c r="AK202" t="s">
        <v>179</v>
      </c>
      <c r="AL202" t="s">
        <v>179</v>
      </c>
      <c r="AM202">
        <v>0</v>
      </c>
      <c r="AN202">
        <v>0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</row>
    <row r="203" spans="1:50" x14ac:dyDescent="0.2">
      <c r="A203" t="s">
        <v>225</v>
      </c>
      <c r="B203">
        <v>772</v>
      </c>
      <c r="C203" t="s">
        <v>60</v>
      </c>
      <c r="D203">
        <v>0.52328380717178824</v>
      </c>
      <c r="E203">
        <v>0.53817971461627456</v>
      </c>
      <c r="F203" t="s">
        <v>179</v>
      </c>
      <c r="G203" t="s">
        <v>179</v>
      </c>
      <c r="H203">
        <v>0.52328380717178824</v>
      </c>
      <c r="I203">
        <v>0.52475470142977287</v>
      </c>
      <c r="J203">
        <v>0.51012373453318338</v>
      </c>
      <c r="K203">
        <v>0.50106486204712075</v>
      </c>
      <c r="L203">
        <v>0.51354257085424493</v>
      </c>
      <c r="M203">
        <v>0.50932457488319915</v>
      </c>
      <c r="N203">
        <v>0.53379638013333786</v>
      </c>
      <c r="O203">
        <v>0.5593544833662718</v>
      </c>
      <c r="P203">
        <v>0.54673924135486629</v>
      </c>
      <c r="Q203">
        <v>0.53435396148989911</v>
      </c>
      <c r="R203">
        <v>0.53137274414025959</v>
      </c>
      <c r="S203">
        <v>0.52576213758178336</v>
      </c>
      <c r="T203">
        <v>0.54186832005356445</v>
      </c>
      <c r="U203">
        <v>0.56148391560013833</v>
      </c>
      <c r="V203">
        <v>0.53817971461627456</v>
      </c>
      <c r="W203" t="s">
        <v>179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 x14ac:dyDescent="0.2">
      <c r="A204" t="s">
        <v>224</v>
      </c>
      <c r="B204">
        <v>772</v>
      </c>
      <c r="C204" t="s">
        <v>171</v>
      </c>
      <c r="D204">
        <v>0.51365991823869472</v>
      </c>
      <c r="E204">
        <v>0.34033333333333332</v>
      </c>
      <c r="F204">
        <v>8</v>
      </c>
      <c r="G204" t="s">
        <v>179</v>
      </c>
      <c r="H204">
        <v>0.51365991823869472</v>
      </c>
      <c r="I204">
        <v>0.50845063318743466</v>
      </c>
      <c r="J204">
        <v>0.48090244561366063</v>
      </c>
      <c r="K204">
        <v>0.48225099451342118</v>
      </c>
      <c r="L204">
        <v>0.49014602257457668</v>
      </c>
      <c r="M204">
        <v>0.48001132996654233</v>
      </c>
      <c r="N204">
        <v>0.47166666666666668</v>
      </c>
      <c r="O204">
        <v>0.45700000000000002</v>
      </c>
      <c r="P204">
        <v>0.34033333333333332</v>
      </c>
      <c r="Q204" t="s">
        <v>179</v>
      </c>
      <c r="R204" t="s">
        <v>179</v>
      </c>
      <c r="S204" t="s">
        <v>179</v>
      </c>
      <c r="T204" t="s">
        <v>179</v>
      </c>
      <c r="U204" t="s">
        <v>179</v>
      </c>
      <c r="V204" t="s">
        <v>179</v>
      </c>
      <c r="W204" t="s">
        <v>179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179</v>
      </c>
      <c r="AH204" t="s">
        <v>179</v>
      </c>
      <c r="AI204" t="s">
        <v>179</v>
      </c>
      <c r="AJ204" t="s">
        <v>179</v>
      </c>
      <c r="AK204" t="s">
        <v>179</v>
      </c>
      <c r="AL204" t="s">
        <v>179</v>
      </c>
      <c r="AM204">
        <v>0</v>
      </c>
      <c r="AN204">
        <v>0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</row>
    <row r="205" spans="1:50" x14ac:dyDescent="0.2">
      <c r="A205" t="s">
        <v>224</v>
      </c>
      <c r="B205">
        <v>773</v>
      </c>
      <c r="C205" t="s">
        <v>51</v>
      </c>
      <c r="D205">
        <v>0.54982954801233208</v>
      </c>
      <c r="E205">
        <v>0.37766666666666665</v>
      </c>
      <c r="F205">
        <v>9</v>
      </c>
      <c r="G205" t="s">
        <v>179</v>
      </c>
      <c r="H205">
        <v>0.54982954801233208</v>
      </c>
      <c r="I205">
        <v>0.5306890799787819</v>
      </c>
      <c r="J205">
        <v>0.49362464134429962</v>
      </c>
      <c r="K205">
        <v>0.49886249668727844</v>
      </c>
      <c r="L205">
        <v>0.48792649174784875</v>
      </c>
      <c r="M205">
        <v>0.49056504907503801</v>
      </c>
      <c r="N205">
        <v>0.48414737986948786</v>
      </c>
      <c r="O205">
        <v>0.49140435537890825</v>
      </c>
      <c r="P205">
        <v>0.46069458617332038</v>
      </c>
      <c r="Q205">
        <v>0.37766666666666665</v>
      </c>
      <c r="R205" t="s">
        <v>179</v>
      </c>
      <c r="S205" t="s">
        <v>179</v>
      </c>
      <c r="T205" t="s">
        <v>179</v>
      </c>
      <c r="U205" t="s">
        <v>179</v>
      </c>
      <c r="V205" t="s">
        <v>179</v>
      </c>
      <c r="W205">
        <v>0.43226292022077278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s">
        <v>179</v>
      </c>
      <c r="AI205" t="s">
        <v>179</v>
      </c>
      <c r="AJ205" t="s">
        <v>179</v>
      </c>
      <c r="AK205" t="s">
        <v>179</v>
      </c>
      <c r="AL205" t="s">
        <v>179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</row>
    <row r="206" spans="1:50" x14ac:dyDescent="0.2">
      <c r="A206" t="s">
        <v>225</v>
      </c>
      <c r="B206">
        <v>773</v>
      </c>
      <c r="C206" t="s">
        <v>58</v>
      </c>
      <c r="D206">
        <v>0.55133550969985068</v>
      </c>
      <c r="E206">
        <v>0.55553503831594497</v>
      </c>
      <c r="F206" t="s">
        <v>179</v>
      </c>
      <c r="G206" t="s">
        <v>179</v>
      </c>
      <c r="H206">
        <v>0.55133550969985068</v>
      </c>
      <c r="I206">
        <v>0.53035028509087268</v>
      </c>
      <c r="J206">
        <v>0.53275039679872116</v>
      </c>
      <c r="K206">
        <v>0.54316580525414049</v>
      </c>
      <c r="L206">
        <v>0.52450313095562218</v>
      </c>
      <c r="M206">
        <v>0.54578112537219836</v>
      </c>
      <c r="N206">
        <v>0.5698111737878061</v>
      </c>
      <c r="O206">
        <v>0.56391183323772398</v>
      </c>
      <c r="P206">
        <v>0.54928098642753276</v>
      </c>
      <c r="Q206">
        <v>0.55278467126022479</v>
      </c>
      <c r="R206">
        <v>0.56299212775796681</v>
      </c>
      <c r="S206">
        <v>0.54428655121805802</v>
      </c>
      <c r="T206">
        <v>0.56697094517234681</v>
      </c>
      <c r="U206">
        <v>0.57069046500704557</v>
      </c>
      <c r="V206">
        <v>0.55553503831594497</v>
      </c>
      <c r="W206">
        <v>0.51361176868447744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 x14ac:dyDescent="0.2">
      <c r="A207" t="s">
        <v>224</v>
      </c>
      <c r="B207">
        <v>773</v>
      </c>
      <c r="C207" t="s">
        <v>172</v>
      </c>
      <c r="D207">
        <v>0.52378652815616111</v>
      </c>
      <c r="E207">
        <v>0.3523882050304879</v>
      </c>
      <c r="F207">
        <v>11</v>
      </c>
      <c r="G207" t="s">
        <v>179</v>
      </c>
      <c r="H207">
        <v>0.52378652815616111</v>
      </c>
      <c r="I207">
        <v>0.52194391654683248</v>
      </c>
      <c r="J207">
        <v>0.4962778028071243</v>
      </c>
      <c r="K207">
        <v>0.49921113920747623</v>
      </c>
      <c r="L207">
        <v>0.49797271440043289</v>
      </c>
      <c r="M207">
        <v>0.50314771899650768</v>
      </c>
      <c r="N207">
        <v>0.501</v>
      </c>
      <c r="O207">
        <v>0.4632995496220042</v>
      </c>
      <c r="P207">
        <v>0.46799999999999997</v>
      </c>
      <c r="Q207">
        <v>0.45637689808311793</v>
      </c>
      <c r="R207">
        <v>0.40569627185158758</v>
      </c>
      <c r="S207">
        <v>0.3523882050304879</v>
      </c>
      <c r="T207" t="s">
        <v>179</v>
      </c>
      <c r="U207" t="s">
        <v>179</v>
      </c>
      <c r="V207" t="s">
        <v>179</v>
      </c>
      <c r="W207">
        <v>0.47779249448123617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179</v>
      </c>
      <c r="AK207" t="s">
        <v>179</v>
      </c>
      <c r="AL207" t="s">
        <v>179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 x14ac:dyDescent="0.2">
      <c r="A208" t="s">
        <v>224</v>
      </c>
      <c r="B208">
        <v>774</v>
      </c>
      <c r="C208" t="s">
        <v>18</v>
      </c>
      <c r="D208">
        <v>0.5723858339496668</v>
      </c>
      <c r="E208">
        <v>0.33355396758667694</v>
      </c>
      <c r="F208">
        <v>11</v>
      </c>
      <c r="G208" t="s">
        <v>179</v>
      </c>
      <c r="H208">
        <v>0.5723858339496668</v>
      </c>
      <c r="I208">
        <v>0.57272987682530474</v>
      </c>
      <c r="J208">
        <v>0.53036352632892436</v>
      </c>
      <c r="K208">
        <v>0.52340407929851318</v>
      </c>
      <c r="L208">
        <v>0.49257480497322881</v>
      </c>
      <c r="M208">
        <v>0.52968650462985478</v>
      </c>
      <c r="N208">
        <v>0.54290213726032366</v>
      </c>
      <c r="O208">
        <v>0.55248117535769181</v>
      </c>
      <c r="P208">
        <v>0.51107064317787787</v>
      </c>
      <c r="Q208">
        <v>0.50433694225313841</v>
      </c>
      <c r="R208">
        <v>0.44883685570928994</v>
      </c>
      <c r="S208">
        <v>0.33355396758667694</v>
      </c>
      <c r="T208" t="s">
        <v>179</v>
      </c>
      <c r="U208" t="s">
        <v>179</v>
      </c>
      <c r="V208" t="s">
        <v>179</v>
      </c>
      <c r="W208">
        <v>0.50499836119305141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179</v>
      </c>
      <c r="AK208" t="s">
        <v>179</v>
      </c>
      <c r="AL208" t="s">
        <v>179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 x14ac:dyDescent="0.2">
      <c r="A209" t="s">
        <v>225</v>
      </c>
      <c r="B209">
        <v>774</v>
      </c>
      <c r="C209" t="s">
        <v>110</v>
      </c>
      <c r="D209">
        <v>0.54142011526274403</v>
      </c>
      <c r="E209">
        <v>0.56459246275197195</v>
      </c>
      <c r="F209" t="s">
        <v>179</v>
      </c>
      <c r="G209" t="s">
        <v>179</v>
      </c>
      <c r="H209">
        <v>0.54142011526274403</v>
      </c>
      <c r="I209">
        <v>0.56250890538202802</v>
      </c>
      <c r="J209">
        <v>0.56610729722857867</v>
      </c>
      <c r="K209">
        <v>0.57308217580727827</v>
      </c>
      <c r="L209">
        <v>0.56837163302617655</v>
      </c>
      <c r="M209">
        <v>0.57319547629026724</v>
      </c>
      <c r="N209">
        <v>0.59172429313213892</v>
      </c>
      <c r="O209">
        <v>0.59877717257577445</v>
      </c>
      <c r="P209">
        <v>0.57694836425042884</v>
      </c>
      <c r="Q209">
        <v>0.56585232558139542</v>
      </c>
      <c r="R209">
        <v>0.57916077182863768</v>
      </c>
      <c r="S209">
        <v>0.5742335095805583</v>
      </c>
      <c r="T209">
        <v>0.5836521860839583</v>
      </c>
      <c r="U209">
        <v>0.5923583087941251</v>
      </c>
      <c r="V209">
        <v>0.56459246275197195</v>
      </c>
      <c r="W209">
        <v>0.57479037057073301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 x14ac:dyDescent="0.2">
      <c r="A210" t="s">
        <v>224</v>
      </c>
      <c r="B210">
        <v>774</v>
      </c>
      <c r="C210" t="s">
        <v>162</v>
      </c>
      <c r="D210">
        <v>0.56342123732251526</v>
      </c>
      <c r="E210">
        <v>0.37497024146018942</v>
      </c>
      <c r="F210">
        <v>11</v>
      </c>
      <c r="G210" t="s">
        <v>179</v>
      </c>
      <c r="H210">
        <v>0.56342123732251526</v>
      </c>
      <c r="I210">
        <v>0.57250101269649334</v>
      </c>
      <c r="J210">
        <v>0.53256414149081521</v>
      </c>
      <c r="K210">
        <v>0.52828903009056383</v>
      </c>
      <c r="L210">
        <v>0.54046129075674987</v>
      </c>
      <c r="M210">
        <v>0.52494407529390297</v>
      </c>
      <c r="N210">
        <v>0.52585162382445139</v>
      </c>
      <c r="O210">
        <v>0.50208814420611281</v>
      </c>
      <c r="P210">
        <v>0.50671522646612688</v>
      </c>
      <c r="Q210">
        <v>0.4752523816524552</v>
      </c>
      <c r="R210">
        <v>0.43811468500088513</v>
      </c>
      <c r="S210">
        <v>0.37497024146018942</v>
      </c>
      <c r="T210" t="s">
        <v>179</v>
      </c>
      <c r="U210" t="s">
        <v>179</v>
      </c>
      <c r="V210" t="s">
        <v>179</v>
      </c>
      <c r="W210">
        <v>0.54806879052720614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179</v>
      </c>
      <c r="AK210" t="s">
        <v>179</v>
      </c>
      <c r="AL210" t="s">
        <v>179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 x14ac:dyDescent="0.2">
      <c r="A211" t="s">
        <v>224</v>
      </c>
      <c r="B211">
        <v>775</v>
      </c>
      <c r="C211" t="s">
        <v>30</v>
      </c>
      <c r="D211">
        <v>0.54089560672411352</v>
      </c>
      <c r="E211">
        <v>0.43481009313480246</v>
      </c>
      <c r="F211" t="s">
        <v>179</v>
      </c>
      <c r="G211">
        <v>9</v>
      </c>
      <c r="H211">
        <v>0.54089560672411352</v>
      </c>
      <c r="I211">
        <v>0.5650598023063601</v>
      </c>
      <c r="J211">
        <v>0.53722073726541553</v>
      </c>
      <c r="K211">
        <v>0.51081230939839206</v>
      </c>
      <c r="L211">
        <v>0.51607829218838819</v>
      </c>
      <c r="M211">
        <v>0.52188164750957855</v>
      </c>
      <c r="N211">
        <v>0.51715920566271256</v>
      </c>
      <c r="O211">
        <v>0.50880482775097269</v>
      </c>
      <c r="P211">
        <v>0.43481009313480246</v>
      </c>
      <c r="Q211" t="s">
        <v>179</v>
      </c>
      <c r="R211" t="s">
        <v>179</v>
      </c>
      <c r="S211" t="s">
        <v>179</v>
      </c>
      <c r="T211" t="s">
        <v>179</v>
      </c>
      <c r="U211" t="s">
        <v>179</v>
      </c>
      <c r="V211" t="s">
        <v>179</v>
      </c>
      <c r="W211" t="s">
        <v>179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 t="s">
        <v>179</v>
      </c>
      <c r="AN211" t="s">
        <v>179</v>
      </c>
      <c r="AO211" t="s">
        <v>179</v>
      </c>
      <c r="AP211" t="s">
        <v>179</v>
      </c>
      <c r="AQ211" t="s">
        <v>179</v>
      </c>
      <c r="AR211" t="s">
        <v>179</v>
      </c>
      <c r="AS211" t="s">
        <v>179</v>
      </c>
      <c r="AT211" t="s">
        <v>179</v>
      </c>
      <c r="AU211" t="s">
        <v>179</v>
      </c>
      <c r="AV211" t="s">
        <v>179</v>
      </c>
      <c r="AW211" t="s">
        <v>179</v>
      </c>
      <c r="AX211" t="s">
        <v>179</v>
      </c>
    </row>
    <row r="212" spans="1:50" x14ac:dyDescent="0.2">
      <c r="A212" t="s">
        <v>225</v>
      </c>
      <c r="B212">
        <v>775</v>
      </c>
      <c r="C212" t="s">
        <v>91</v>
      </c>
      <c r="D212">
        <v>0.53513848359564919</v>
      </c>
      <c r="E212">
        <v>0.54529069230058236</v>
      </c>
      <c r="F212" t="s">
        <v>179</v>
      </c>
      <c r="G212" t="s">
        <v>179</v>
      </c>
      <c r="H212">
        <v>0.53513848359564919</v>
      </c>
      <c r="I212">
        <v>0.55835600744665614</v>
      </c>
      <c r="J212">
        <v>0.54946954755187194</v>
      </c>
      <c r="K212">
        <v>0.56933172527802822</v>
      </c>
      <c r="L212">
        <v>0.54680365296803657</v>
      </c>
      <c r="M212">
        <v>0.54494577242926578</v>
      </c>
      <c r="N212">
        <v>0.5614603648517752</v>
      </c>
      <c r="O212">
        <v>0.60185328629750812</v>
      </c>
      <c r="P212">
        <v>0.57831997368735788</v>
      </c>
      <c r="Q212">
        <v>0.56874766795951648</v>
      </c>
      <c r="R212">
        <v>0.55381900680615082</v>
      </c>
      <c r="S212">
        <v>0.53640402331850567</v>
      </c>
      <c r="T212">
        <v>0.57071599782342541</v>
      </c>
      <c r="U212">
        <v>0.57853694764203489</v>
      </c>
      <c r="V212">
        <v>0.54529069230058236</v>
      </c>
      <c r="W212" t="s">
        <v>179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 x14ac:dyDescent="0.2">
      <c r="A213" t="s">
        <v>224</v>
      </c>
      <c r="B213">
        <v>775</v>
      </c>
      <c r="C213" t="s">
        <v>160</v>
      </c>
      <c r="D213">
        <v>0.5617493070526639</v>
      </c>
      <c r="E213">
        <v>0.48195985082772419</v>
      </c>
      <c r="F213" t="s">
        <v>179</v>
      </c>
      <c r="G213">
        <v>9</v>
      </c>
      <c r="H213">
        <v>0.5617493070526639</v>
      </c>
      <c r="I213">
        <v>0.55958326083454168</v>
      </c>
      <c r="J213">
        <v>0.5274438811160721</v>
      </c>
      <c r="K213">
        <v>0.51621384962220052</v>
      </c>
      <c r="L213">
        <v>0.52030901020158871</v>
      </c>
      <c r="M213">
        <v>0.51340407707344315</v>
      </c>
      <c r="N213">
        <v>0.51632787972896665</v>
      </c>
      <c r="O213">
        <v>0.51229136661960895</v>
      </c>
      <c r="P213">
        <v>0.48195985082772419</v>
      </c>
      <c r="Q213" t="s">
        <v>179</v>
      </c>
      <c r="R213" t="s">
        <v>179</v>
      </c>
      <c r="S213" t="s">
        <v>179</v>
      </c>
      <c r="T213" t="s">
        <v>179</v>
      </c>
      <c r="U213" t="s">
        <v>179</v>
      </c>
      <c r="V213" t="s">
        <v>179</v>
      </c>
      <c r="W213" t="s">
        <v>179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 t="s">
        <v>179</v>
      </c>
      <c r="AN213" t="s">
        <v>179</v>
      </c>
      <c r="AO213" t="s">
        <v>179</v>
      </c>
      <c r="AP213" t="s">
        <v>179</v>
      </c>
      <c r="AQ213" t="s">
        <v>179</v>
      </c>
      <c r="AR213" t="s">
        <v>179</v>
      </c>
      <c r="AS213" t="s">
        <v>179</v>
      </c>
      <c r="AT213" t="s">
        <v>179</v>
      </c>
      <c r="AU213" t="s">
        <v>179</v>
      </c>
      <c r="AV213" t="s">
        <v>179</v>
      </c>
      <c r="AW213" t="s">
        <v>179</v>
      </c>
      <c r="AX213" t="s">
        <v>179</v>
      </c>
    </row>
    <row r="214" spans="1:50" x14ac:dyDescent="0.2">
      <c r="A214" t="s">
        <v>224</v>
      </c>
      <c r="B214">
        <v>909</v>
      </c>
      <c r="C214" t="s">
        <v>43</v>
      </c>
      <c r="D214">
        <v>0.46291020892687562</v>
      </c>
      <c r="E214">
        <v>0.317</v>
      </c>
      <c r="F214">
        <v>9</v>
      </c>
      <c r="G214" t="s">
        <v>179</v>
      </c>
      <c r="H214">
        <v>0.46291020892687562</v>
      </c>
      <c r="I214">
        <v>0.49853976764533486</v>
      </c>
      <c r="J214">
        <v>0.46152803101956613</v>
      </c>
      <c r="K214">
        <v>0.46011383739104139</v>
      </c>
      <c r="L214">
        <v>0.41487025449101794</v>
      </c>
      <c r="M214">
        <v>0.45357686453576868</v>
      </c>
      <c r="N214">
        <v>0.45464005701099502</v>
      </c>
      <c r="O214">
        <v>0.4409029404047633</v>
      </c>
      <c r="P214">
        <v>0.43735741177451237</v>
      </c>
      <c r="Q214">
        <v>0.317</v>
      </c>
      <c r="R214" t="s">
        <v>179</v>
      </c>
      <c r="S214" t="s">
        <v>179</v>
      </c>
      <c r="T214" t="s">
        <v>179</v>
      </c>
      <c r="U214" t="s">
        <v>179</v>
      </c>
      <c r="V214" t="s">
        <v>179</v>
      </c>
      <c r="W214" t="s">
        <v>179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s">
        <v>179</v>
      </c>
      <c r="AI214" t="s">
        <v>179</v>
      </c>
      <c r="AJ214" t="s">
        <v>179</v>
      </c>
      <c r="AK214" t="s">
        <v>179</v>
      </c>
      <c r="AL214" t="s">
        <v>179</v>
      </c>
      <c r="AM214">
        <v>0</v>
      </c>
      <c r="AN214">
        <v>0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</row>
    <row r="215" spans="1:50" x14ac:dyDescent="0.2">
      <c r="A215" t="s">
        <v>225</v>
      </c>
      <c r="B215">
        <v>909</v>
      </c>
      <c r="C215" t="s">
        <v>64</v>
      </c>
      <c r="D215">
        <v>0.5830786329535983</v>
      </c>
      <c r="E215">
        <v>0.59023380922822266</v>
      </c>
      <c r="F215" t="s">
        <v>179</v>
      </c>
      <c r="G215" t="s">
        <v>179</v>
      </c>
      <c r="H215">
        <v>0.5830786329535983</v>
      </c>
      <c r="I215">
        <v>0.56633368822292318</v>
      </c>
      <c r="J215">
        <v>0.55271811695469908</v>
      </c>
      <c r="K215">
        <v>0.57351676698194332</v>
      </c>
      <c r="L215">
        <v>0.58714451725060179</v>
      </c>
      <c r="M215">
        <v>0.5785217446514781</v>
      </c>
      <c r="N215">
        <v>0.60625791644058602</v>
      </c>
      <c r="O215">
        <v>0.60913545519203427</v>
      </c>
      <c r="P215">
        <v>0.59886666265946131</v>
      </c>
      <c r="Q215">
        <v>0.59142823501707298</v>
      </c>
      <c r="R215">
        <v>0.57933333333333337</v>
      </c>
      <c r="S215">
        <v>0.57559496753535022</v>
      </c>
      <c r="T215">
        <v>0.59950336998935794</v>
      </c>
      <c r="U215">
        <v>0.60850226670088103</v>
      </c>
      <c r="V215">
        <v>0.59023380922822266</v>
      </c>
      <c r="W215" t="s">
        <v>179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 x14ac:dyDescent="0.2">
      <c r="A216" t="s">
        <v>224</v>
      </c>
      <c r="B216">
        <v>909</v>
      </c>
      <c r="C216" t="s">
        <v>163</v>
      </c>
      <c r="D216">
        <v>0.48672375181774119</v>
      </c>
      <c r="E216">
        <v>0.33466666666666667</v>
      </c>
      <c r="F216">
        <v>9</v>
      </c>
      <c r="G216" t="s">
        <v>179</v>
      </c>
      <c r="H216">
        <v>0.48672375181774119</v>
      </c>
      <c r="I216">
        <v>0.5179219958945207</v>
      </c>
      <c r="J216">
        <v>0.47763898603967675</v>
      </c>
      <c r="K216">
        <v>0.46275696141260558</v>
      </c>
      <c r="L216">
        <v>0.46587657075339445</v>
      </c>
      <c r="M216">
        <v>0.46699894275789161</v>
      </c>
      <c r="N216">
        <v>0.48109717538550223</v>
      </c>
      <c r="O216">
        <v>0.51004448648494805</v>
      </c>
      <c r="P216">
        <v>0.44554560421994893</v>
      </c>
      <c r="Q216">
        <v>0.33466666666666667</v>
      </c>
      <c r="R216" t="s">
        <v>179</v>
      </c>
      <c r="S216" t="s">
        <v>179</v>
      </c>
      <c r="T216" t="s">
        <v>179</v>
      </c>
      <c r="U216" t="s">
        <v>179</v>
      </c>
      <c r="V216" t="s">
        <v>179</v>
      </c>
      <c r="W216" t="s">
        <v>179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s">
        <v>179</v>
      </c>
      <c r="AI216" t="s">
        <v>179</v>
      </c>
      <c r="AJ216" t="s">
        <v>179</v>
      </c>
      <c r="AK216" t="s">
        <v>179</v>
      </c>
      <c r="AL216" t="s">
        <v>179</v>
      </c>
      <c r="AM216">
        <v>0</v>
      </c>
      <c r="AN216">
        <v>0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</row>
    <row r="217" spans="1:50" x14ac:dyDescent="0.2">
      <c r="A217" t="s">
        <v>224</v>
      </c>
      <c r="B217">
        <v>910</v>
      </c>
      <c r="C217" t="s">
        <v>50</v>
      </c>
      <c r="D217">
        <v>0.55543613216746157</v>
      </c>
      <c r="E217">
        <v>0.35592363405233879</v>
      </c>
      <c r="F217">
        <v>9</v>
      </c>
      <c r="G217" t="s">
        <v>179</v>
      </c>
      <c r="H217">
        <v>0.55543613216746157</v>
      </c>
      <c r="I217">
        <v>0.5717244461180313</v>
      </c>
      <c r="J217">
        <v>0.54465671089338563</v>
      </c>
      <c r="K217">
        <v>0.55797406263165283</v>
      </c>
      <c r="L217">
        <v>0.54761592013660843</v>
      </c>
      <c r="M217">
        <v>0.55470871222076223</v>
      </c>
      <c r="N217">
        <v>0.55227869428930143</v>
      </c>
      <c r="O217">
        <v>0.52622614835816772</v>
      </c>
      <c r="P217">
        <v>0.43338722830968202</v>
      </c>
      <c r="Q217">
        <v>0.35592363405233879</v>
      </c>
      <c r="R217" t="s">
        <v>179</v>
      </c>
      <c r="S217" t="s">
        <v>179</v>
      </c>
      <c r="T217" t="s">
        <v>179</v>
      </c>
      <c r="U217" t="s">
        <v>179</v>
      </c>
      <c r="V217" t="s">
        <v>179</v>
      </c>
      <c r="W217">
        <v>0.52047688387331648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s">
        <v>179</v>
      </c>
      <c r="AI217" t="s">
        <v>179</v>
      </c>
      <c r="AJ217" t="s">
        <v>179</v>
      </c>
      <c r="AK217" t="s">
        <v>179</v>
      </c>
      <c r="AL217" t="s">
        <v>179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 x14ac:dyDescent="0.2">
      <c r="A218" t="s">
        <v>225</v>
      </c>
      <c r="B218">
        <v>910</v>
      </c>
      <c r="C218" t="s">
        <v>71</v>
      </c>
      <c r="D218">
        <v>0.60146902295251525</v>
      </c>
      <c r="E218">
        <v>0.60622329352470705</v>
      </c>
      <c r="F218" t="s">
        <v>179</v>
      </c>
      <c r="G218" t="s">
        <v>179</v>
      </c>
      <c r="H218">
        <v>0.60146902295251525</v>
      </c>
      <c r="I218">
        <v>0.59794577311952535</v>
      </c>
      <c r="J218">
        <v>0.60898964592686444</v>
      </c>
      <c r="K218">
        <v>0.60891217527037567</v>
      </c>
      <c r="L218">
        <v>0.59635998213488173</v>
      </c>
      <c r="M218">
        <v>0.61303651719106778</v>
      </c>
      <c r="N218">
        <v>0.61760930447176121</v>
      </c>
      <c r="O218">
        <v>0.61284377875263607</v>
      </c>
      <c r="P218">
        <v>0.61510924981396542</v>
      </c>
      <c r="Q218">
        <v>0.42533982045039564</v>
      </c>
      <c r="R218">
        <v>0.62292635663533025</v>
      </c>
      <c r="S218">
        <v>0.61152495217313796</v>
      </c>
      <c r="T218">
        <v>0.62086726874086451</v>
      </c>
      <c r="U218">
        <v>0.62768290490742407</v>
      </c>
      <c r="V218">
        <v>0.60622329352470705</v>
      </c>
      <c r="W218">
        <v>0.52910927456381995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 x14ac:dyDescent="0.2">
      <c r="A219" t="s">
        <v>224</v>
      </c>
      <c r="B219">
        <v>910</v>
      </c>
      <c r="C219" t="s">
        <v>145</v>
      </c>
      <c r="D219">
        <v>0.59486613455133308</v>
      </c>
      <c r="E219">
        <v>0.32022094259744022</v>
      </c>
      <c r="F219">
        <v>9</v>
      </c>
      <c r="G219" t="s">
        <v>179</v>
      </c>
      <c r="H219">
        <v>0.59486613455133308</v>
      </c>
      <c r="I219">
        <v>0.57888993392634269</v>
      </c>
      <c r="J219">
        <v>0.54679684712006138</v>
      </c>
      <c r="K219">
        <v>0.5667092574187137</v>
      </c>
      <c r="L219">
        <v>0.55790763015180045</v>
      </c>
      <c r="M219">
        <v>0.54840788964805975</v>
      </c>
      <c r="N219">
        <v>0.55149935058894639</v>
      </c>
      <c r="O219">
        <v>0.47034531033110411</v>
      </c>
      <c r="P219">
        <v>0.45156073062392466</v>
      </c>
      <c r="Q219">
        <v>0.32022094259744022</v>
      </c>
      <c r="R219" t="s">
        <v>179</v>
      </c>
      <c r="S219" t="s">
        <v>179</v>
      </c>
      <c r="T219" t="s">
        <v>179</v>
      </c>
      <c r="U219" t="s">
        <v>179</v>
      </c>
      <c r="V219" t="s">
        <v>179</v>
      </c>
      <c r="W219" t="s">
        <v>179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s">
        <v>179</v>
      </c>
      <c r="AI219" t="s">
        <v>179</v>
      </c>
      <c r="AJ219" t="s">
        <v>179</v>
      </c>
      <c r="AK219" t="s">
        <v>179</v>
      </c>
      <c r="AL219" t="s">
        <v>179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</row>
    <row r="220" spans="1:50" x14ac:dyDescent="0.2">
      <c r="A220" t="s">
        <v>224</v>
      </c>
      <c r="B220">
        <v>911</v>
      </c>
      <c r="C220" t="s">
        <v>57</v>
      </c>
      <c r="D220">
        <v>0.53492105183259853</v>
      </c>
      <c r="E220">
        <v>0.34943953640222009</v>
      </c>
      <c r="F220">
        <v>12</v>
      </c>
      <c r="G220" t="s">
        <v>179</v>
      </c>
      <c r="H220">
        <v>0.53492105183259853</v>
      </c>
      <c r="I220">
        <v>0.55376829524954896</v>
      </c>
      <c r="J220">
        <v>0.5259269802688018</v>
      </c>
      <c r="K220">
        <v>0.53133099557859431</v>
      </c>
      <c r="L220">
        <v>0.51930512939301343</v>
      </c>
      <c r="M220">
        <v>0.52593835825450108</v>
      </c>
      <c r="N220">
        <v>0.51971136265565532</v>
      </c>
      <c r="O220">
        <v>0.52443120544112243</v>
      </c>
      <c r="P220">
        <v>0.52008701957940529</v>
      </c>
      <c r="Q220">
        <v>0.50002720520200683</v>
      </c>
      <c r="R220">
        <v>0.44195880808865645</v>
      </c>
      <c r="S220">
        <v>0.39147832820658263</v>
      </c>
      <c r="T220">
        <v>0.34943953640222009</v>
      </c>
      <c r="U220" t="s">
        <v>179</v>
      </c>
      <c r="V220" t="s">
        <v>179</v>
      </c>
      <c r="W220">
        <v>0.48117267348036574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179</v>
      </c>
      <c r="AL220" t="s">
        <v>179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 x14ac:dyDescent="0.2">
      <c r="A221" t="s">
        <v>225</v>
      </c>
      <c r="B221">
        <v>911</v>
      </c>
      <c r="C221" t="s">
        <v>100</v>
      </c>
      <c r="D221">
        <v>0.56474267839757852</v>
      </c>
      <c r="E221">
        <v>0.58559859925585456</v>
      </c>
      <c r="F221" t="s">
        <v>179</v>
      </c>
      <c r="G221" t="s">
        <v>179</v>
      </c>
      <c r="H221">
        <v>0.56474267839757852</v>
      </c>
      <c r="I221">
        <v>0.533368220535819</v>
      </c>
      <c r="J221">
        <v>0.57012209257246727</v>
      </c>
      <c r="K221">
        <v>0.58282371709651681</v>
      </c>
      <c r="L221">
        <v>0.57550343994314146</v>
      </c>
      <c r="M221">
        <v>0.59182970176605065</v>
      </c>
      <c r="N221">
        <v>0.60755920971898392</v>
      </c>
      <c r="O221">
        <v>0.61202091177470908</v>
      </c>
      <c r="P221">
        <v>0.61229287908087826</v>
      </c>
      <c r="Q221">
        <v>0.58307453606560766</v>
      </c>
      <c r="R221">
        <v>0.5762196215915415</v>
      </c>
      <c r="S221">
        <v>0.58992990430018</v>
      </c>
      <c r="T221">
        <v>0.6102241347162336</v>
      </c>
      <c r="U221">
        <v>0.60719814241486059</v>
      </c>
      <c r="V221">
        <v>0.58559859925585456</v>
      </c>
      <c r="W221">
        <v>0.56084845022139684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 x14ac:dyDescent="0.2">
      <c r="A222" t="s">
        <v>224</v>
      </c>
      <c r="B222">
        <v>911</v>
      </c>
      <c r="C222" t="s">
        <v>120</v>
      </c>
      <c r="D222">
        <v>0.53629745492965497</v>
      </c>
      <c r="E222">
        <v>0.375</v>
      </c>
      <c r="F222">
        <v>12</v>
      </c>
      <c r="G222" t="s">
        <v>179</v>
      </c>
      <c r="H222">
        <v>0.53629745492965497</v>
      </c>
      <c r="I222">
        <v>0.53147118426678064</v>
      </c>
      <c r="J222">
        <v>0.50757022289041331</v>
      </c>
      <c r="K222">
        <v>0.50166527893422153</v>
      </c>
      <c r="L222">
        <v>0.49683950621719736</v>
      </c>
      <c r="M222">
        <v>0.50021710594781976</v>
      </c>
      <c r="N222">
        <v>0.51105097428958046</v>
      </c>
      <c r="O222">
        <v>0.48348364383072712</v>
      </c>
      <c r="P222">
        <v>0.48463556456715301</v>
      </c>
      <c r="Q222">
        <v>0.46462856298921879</v>
      </c>
      <c r="R222">
        <v>0.44739395205659205</v>
      </c>
      <c r="S222">
        <v>0.43763722196739563</v>
      </c>
      <c r="T222">
        <v>0.375</v>
      </c>
      <c r="U222" t="s">
        <v>179</v>
      </c>
      <c r="V222" t="s">
        <v>179</v>
      </c>
      <c r="W222">
        <v>0.56827668455575442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179</v>
      </c>
      <c r="AL222" t="s">
        <v>179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 x14ac:dyDescent="0.2">
      <c r="A223" t="s">
        <v>224</v>
      </c>
      <c r="B223">
        <v>912</v>
      </c>
      <c r="C223" t="s">
        <v>49</v>
      </c>
      <c r="D223">
        <v>0.5600881559251315</v>
      </c>
      <c r="E223">
        <v>0.35861285341031102</v>
      </c>
      <c r="F223">
        <v>10</v>
      </c>
      <c r="G223" t="s">
        <v>179</v>
      </c>
      <c r="H223">
        <v>0.5600881559251315</v>
      </c>
      <c r="I223">
        <v>0.55786854532261254</v>
      </c>
      <c r="J223">
        <v>0.52378652815616111</v>
      </c>
      <c r="K223">
        <v>0.5226638210657637</v>
      </c>
      <c r="L223">
        <v>0.50795291989664082</v>
      </c>
      <c r="M223">
        <v>0.50073362256885212</v>
      </c>
      <c r="N223">
        <v>0.49650122341165021</v>
      </c>
      <c r="O223">
        <v>0.5002204767026579</v>
      </c>
      <c r="P223">
        <v>0.47974052395209588</v>
      </c>
      <c r="Q223">
        <v>0.43642611683848798</v>
      </c>
      <c r="R223">
        <v>0.35861285341031102</v>
      </c>
      <c r="S223" t="s">
        <v>179</v>
      </c>
      <c r="T223" t="s">
        <v>179</v>
      </c>
      <c r="U223" t="s">
        <v>179</v>
      </c>
      <c r="V223" t="s">
        <v>179</v>
      </c>
      <c r="W223">
        <v>0.47855556854037623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179</v>
      </c>
      <c r="AJ223" t="s">
        <v>179</v>
      </c>
      <c r="AK223" t="s">
        <v>179</v>
      </c>
      <c r="AL223" t="s">
        <v>179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</row>
    <row r="224" spans="1:50" x14ac:dyDescent="0.2">
      <c r="A224" t="s">
        <v>225</v>
      </c>
      <c r="B224">
        <v>912</v>
      </c>
      <c r="C224" t="s">
        <v>87</v>
      </c>
      <c r="D224">
        <v>0.55296398585615514</v>
      </c>
      <c r="E224">
        <v>0.56809507705686269</v>
      </c>
      <c r="F224" t="s">
        <v>179</v>
      </c>
      <c r="G224" t="s">
        <v>179</v>
      </c>
      <c r="H224">
        <v>0.55296398585615514</v>
      </c>
      <c r="I224">
        <v>0.53450588761365325</v>
      </c>
      <c r="J224">
        <v>0.54436986856823255</v>
      </c>
      <c r="K224">
        <v>0.51459670201944574</v>
      </c>
      <c r="L224">
        <v>0.54756946225714309</v>
      </c>
      <c r="M224">
        <v>0.53272641181893077</v>
      </c>
      <c r="N224">
        <v>0.54800070701074821</v>
      </c>
      <c r="O224">
        <v>0.57656641604010028</v>
      </c>
      <c r="P224">
        <v>0.5442550875132367</v>
      </c>
      <c r="Q224">
        <v>0.54072049234657393</v>
      </c>
      <c r="R224">
        <v>0.52868112466124662</v>
      </c>
      <c r="S224">
        <v>0.52232507487067792</v>
      </c>
      <c r="T224">
        <v>0.53574378023426728</v>
      </c>
      <c r="U224">
        <v>0.55190332326283986</v>
      </c>
      <c r="V224">
        <v>0.56809507705686269</v>
      </c>
      <c r="W224">
        <v>0.54050669492341785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 x14ac:dyDescent="0.2">
      <c r="A225" t="s">
        <v>224</v>
      </c>
      <c r="B225">
        <v>912</v>
      </c>
      <c r="C225" t="s">
        <v>158</v>
      </c>
      <c r="D225">
        <v>0.55424552385690318</v>
      </c>
      <c r="E225">
        <v>0.36403508771929816</v>
      </c>
      <c r="F225">
        <v>10</v>
      </c>
      <c r="G225" t="s">
        <v>179</v>
      </c>
      <c r="H225">
        <v>0.55424552385690318</v>
      </c>
      <c r="I225">
        <v>0.54612986310587797</v>
      </c>
      <c r="J225">
        <v>0.51163119461465811</v>
      </c>
      <c r="K225">
        <v>0.52802850992917649</v>
      </c>
      <c r="L225">
        <v>0.49661149092532153</v>
      </c>
      <c r="M225">
        <v>0.50309741598778002</v>
      </c>
      <c r="N225">
        <v>0.50925396539875134</v>
      </c>
      <c r="O225">
        <v>0.47612046230078475</v>
      </c>
      <c r="P225">
        <v>0.48174171953616168</v>
      </c>
      <c r="Q225">
        <v>0.44962967951423016</v>
      </c>
      <c r="R225">
        <v>0.36403508771929816</v>
      </c>
      <c r="S225" t="s">
        <v>179</v>
      </c>
      <c r="T225" t="s">
        <v>179</v>
      </c>
      <c r="U225" t="s">
        <v>179</v>
      </c>
      <c r="V225" t="s">
        <v>179</v>
      </c>
      <c r="W225" t="s">
        <v>179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179</v>
      </c>
      <c r="AJ225" t="s">
        <v>179</v>
      </c>
      <c r="AK225" t="s">
        <v>179</v>
      </c>
      <c r="AL225" t="s">
        <v>179</v>
      </c>
      <c r="AM225">
        <v>0</v>
      </c>
      <c r="AN225">
        <v>0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</row>
    <row r="226" spans="1:50" x14ac:dyDescent="0.2">
      <c r="A226" t="s">
        <v>224</v>
      </c>
      <c r="B226">
        <v>913</v>
      </c>
      <c r="C226" t="s">
        <v>29</v>
      </c>
      <c r="D226">
        <v>0.53845294933333543</v>
      </c>
      <c r="E226">
        <v>0.31223461723872209</v>
      </c>
      <c r="F226">
        <v>11</v>
      </c>
      <c r="G226" t="s">
        <v>179</v>
      </c>
      <c r="H226">
        <v>0.53845294933333543</v>
      </c>
      <c r="I226">
        <v>0.53433333333333344</v>
      </c>
      <c r="J226">
        <v>0.52134637238979498</v>
      </c>
      <c r="K226">
        <v>0.51865171230020779</v>
      </c>
      <c r="L226">
        <v>0.52079760119641083</v>
      </c>
      <c r="M226">
        <v>0.51859343395052127</v>
      </c>
      <c r="N226">
        <v>0.52066666666666672</v>
      </c>
      <c r="O226">
        <v>0.51933333333333331</v>
      </c>
      <c r="P226">
        <v>0.49594368289191121</v>
      </c>
      <c r="Q226">
        <v>0.49527141258803137</v>
      </c>
      <c r="R226">
        <v>0.46209319715225255</v>
      </c>
      <c r="S226">
        <v>0.31223461723872209</v>
      </c>
      <c r="T226" t="s">
        <v>179</v>
      </c>
      <c r="U226" t="s">
        <v>179</v>
      </c>
      <c r="V226" t="s">
        <v>179</v>
      </c>
      <c r="W226" t="s">
        <v>179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179</v>
      </c>
      <c r="AK226" t="s">
        <v>179</v>
      </c>
      <c r="AL226" t="s">
        <v>179</v>
      </c>
      <c r="AM226">
        <v>0</v>
      </c>
      <c r="AN226">
        <v>0</v>
      </c>
      <c r="AO226">
        <v>0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</row>
    <row r="227" spans="1:50" x14ac:dyDescent="0.2">
      <c r="A227" t="s">
        <v>225</v>
      </c>
      <c r="B227">
        <v>913</v>
      </c>
      <c r="C227" t="s">
        <v>92</v>
      </c>
      <c r="D227">
        <v>0.53372832817159499</v>
      </c>
      <c r="E227">
        <v>0.5540635381088288</v>
      </c>
      <c r="F227" t="s">
        <v>179</v>
      </c>
      <c r="G227" t="s">
        <v>179</v>
      </c>
      <c r="H227">
        <v>0.53372832817159499</v>
      </c>
      <c r="I227">
        <v>0.55918832824375697</v>
      </c>
      <c r="J227">
        <v>0.5532873517241379</v>
      </c>
      <c r="K227">
        <v>0.56065704170434316</v>
      </c>
      <c r="L227">
        <v>0.5473650933172064</v>
      </c>
      <c r="M227">
        <v>0.55554141748314034</v>
      </c>
      <c r="N227">
        <v>0.57395811144083819</v>
      </c>
      <c r="O227">
        <v>0.58342918754753037</v>
      </c>
      <c r="P227">
        <v>0.56747245068074459</v>
      </c>
      <c r="Q227">
        <v>0.56296927714577338</v>
      </c>
      <c r="R227">
        <v>0.56627524686415798</v>
      </c>
      <c r="S227">
        <v>0.51911102812848708</v>
      </c>
      <c r="T227">
        <v>0.56589147286821706</v>
      </c>
      <c r="U227">
        <v>0.58317817534202221</v>
      </c>
      <c r="V227">
        <v>0.5540635381088288</v>
      </c>
      <c r="W227">
        <v>0.55389970629827034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 x14ac:dyDescent="0.2">
      <c r="A228" t="s">
        <v>224</v>
      </c>
      <c r="B228">
        <v>913</v>
      </c>
      <c r="C228" t="s">
        <v>143</v>
      </c>
      <c r="D228">
        <v>0.53966666666666674</v>
      </c>
      <c r="E228">
        <v>0.32466666666666671</v>
      </c>
      <c r="F228">
        <v>7</v>
      </c>
      <c r="G228" t="s">
        <v>179</v>
      </c>
      <c r="H228">
        <v>0.53966666666666674</v>
      </c>
      <c r="I228">
        <v>0.54066666666666663</v>
      </c>
      <c r="J228">
        <v>0.53704367178866241</v>
      </c>
      <c r="K228">
        <v>0.53768312943664098</v>
      </c>
      <c r="L228">
        <v>0.53171901926771026</v>
      </c>
      <c r="M228">
        <v>0.52339124297576367</v>
      </c>
      <c r="N228">
        <v>0.496</v>
      </c>
      <c r="O228">
        <v>0.32466666666666671</v>
      </c>
      <c r="P228" t="s">
        <v>179</v>
      </c>
      <c r="Q228" t="s">
        <v>179</v>
      </c>
      <c r="R228" t="s">
        <v>179</v>
      </c>
      <c r="S228" t="s">
        <v>179</v>
      </c>
      <c r="T228" t="s">
        <v>179</v>
      </c>
      <c r="U228" t="s">
        <v>179</v>
      </c>
      <c r="V228" t="s">
        <v>179</v>
      </c>
      <c r="W228">
        <v>0.56363199230645933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179</v>
      </c>
      <c r="AG228" t="s">
        <v>179</v>
      </c>
      <c r="AH228" t="s">
        <v>179</v>
      </c>
      <c r="AI228" t="s">
        <v>179</v>
      </c>
      <c r="AJ228" t="s">
        <v>179</v>
      </c>
      <c r="AK228" t="s">
        <v>179</v>
      </c>
      <c r="AL228" t="s">
        <v>179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 x14ac:dyDescent="0.2">
      <c r="A229" t="s">
        <v>224</v>
      </c>
      <c r="B229">
        <v>914</v>
      </c>
      <c r="C229" t="s">
        <v>56</v>
      </c>
      <c r="D229">
        <v>0.5102512958140506</v>
      </c>
      <c r="E229">
        <v>0.34492807006985904</v>
      </c>
      <c r="F229">
        <v>12</v>
      </c>
      <c r="G229" t="s">
        <v>179</v>
      </c>
      <c r="H229">
        <v>0.5102512958140506</v>
      </c>
      <c r="I229">
        <v>0.54238332622601282</v>
      </c>
      <c r="J229">
        <v>0.49557881134047577</v>
      </c>
      <c r="K229">
        <v>0.49154413856347734</v>
      </c>
      <c r="L229">
        <v>0.48107707766266267</v>
      </c>
      <c r="M229">
        <v>0.48999347947500693</v>
      </c>
      <c r="N229">
        <v>0.49048263870094722</v>
      </c>
      <c r="O229">
        <v>0.51098927034587971</v>
      </c>
      <c r="P229">
        <v>0.49643435980551059</v>
      </c>
      <c r="Q229">
        <v>0.47432569955042148</v>
      </c>
      <c r="R229">
        <v>0.41502652083072172</v>
      </c>
      <c r="S229">
        <v>0.37239267012452959</v>
      </c>
      <c r="T229">
        <v>0.34492807006985904</v>
      </c>
      <c r="U229" t="s">
        <v>179</v>
      </c>
      <c r="V229" t="s">
        <v>179</v>
      </c>
      <c r="W229" t="s">
        <v>179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179</v>
      </c>
      <c r="AL229" t="s">
        <v>179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</row>
    <row r="230" spans="1:50" x14ac:dyDescent="0.2">
      <c r="A230" t="s">
        <v>225</v>
      </c>
      <c r="B230">
        <v>914</v>
      </c>
      <c r="C230" t="s">
        <v>62</v>
      </c>
      <c r="D230">
        <v>0.49001316996047428</v>
      </c>
      <c r="E230">
        <v>0.5244675275170344</v>
      </c>
      <c r="F230" t="s">
        <v>179</v>
      </c>
      <c r="G230" t="s">
        <v>179</v>
      </c>
      <c r="H230">
        <v>0.49001316996047428</v>
      </c>
      <c r="I230">
        <v>0.50718757325319308</v>
      </c>
      <c r="J230">
        <v>0.48485000757575003</v>
      </c>
      <c r="K230">
        <v>0.50619925849078984</v>
      </c>
      <c r="L230">
        <v>0.48701388343860369</v>
      </c>
      <c r="M230">
        <v>0.50677988926875073</v>
      </c>
      <c r="N230">
        <v>0.53628733646013338</v>
      </c>
      <c r="O230">
        <v>0.54732973819366149</v>
      </c>
      <c r="P230">
        <v>0.5350805565416995</v>
      </c>
      <c r="Q230">
        <v>0.51963656858998852</v>
      </c>
      <c r="R230">
        <v>0.48479714481544622</v>
      </c>
      <c r="S230">
        <v>0.51979531376245625</v>
      </c>
      <c r="T230">
        <v>0.54657198206054569</v>
      </c>
      <c r="U230">
        <v>0.53890586413293717</v>
      </c>
      <c r="V230">
        <v>0.5244675275170344</v>
      </c>
      <c r="W230" t="s">
        <v>179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</row>
    <row r="231" spans="1:50" x14ac:dyDescent="0.2">
      <c r="A231" t="s">
        <v>224</v>
      </c>
      <c r="B231">
        <v>914</v>
      </c>
      <c r="C231" t="s">
        <v>119</v>
      </c>
      <c r="D231">
        <v>0.50411142460684544</v>
      </c>
      <c r="E231">
        <v>0.37123635244892933</v>
      </c>
      <c r="F231" t="s">
        <v>179</v>
      </c>
      <c r="G231">
        <v>13</v>
      </c>
      <c r="H231">
        <v>0.50411142460684544</v>
      </c>
      <c r="I231">
        <v>0.51651334640325741</v>
      </c>
      <c r="J231">
        <v>0.47091102855477851</v>
      </c>
      <c r="K231">
        <v>0.47930446482260974</v>
      </c>
      <c r="L231">
        <v>0.48600569029409063</v>
      </c>
      <c r="M231">
        <v>0.48712155445097155</v>
      </c>
      <c r="N231">
        <v>0.48207645875642829</v>
      </c>
      <c r="O231">
        <v>0.45440444778979061</v>
      </c>
      <c r="P231">
        <v>0.46887869960277656</v>
      </c>
      <c r="Q231">
        <v>0.44892898069009179</v>
      </c>
      <c r="R231">
        <v>0.42084829979807448</v>
      </c>
      <c r="S231">
        <v>0.40686074210742107</v>
      </c>
      <c r="T231">
        <v>0.37123635244892933</v>
      </c>
      <c r="U231" t="s">
        <v>179</v>
      </c>
      <c r="V231" t="s">
        <v>179</v>
      </c>
      <c r="W231" t="s">
        <v>179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 t="s">
        <v>179</v>
      </c>
      <c r="AN231" t="s">
        <v>179</v>
      </c>
      <c r="AO231" t="s">
        <v>179</v>
      </c>
      <c r="AP231" t="s">
        <v>179</v>
      </c>
      <c r="AQ231" t="s">
        <v>179</v>
      </c>
      <c r="AR231" t="s">
        <v>179</v>
      </c>
      <c r="AS231" t="s">
        <v>179</v>
      </c>
      <c r="AT231" t="s">
        <v>179</v>
      </c>
      <c r="AU231" t="s">
        <v>179</v>
      </c>
      <c r="AV231" t="s">
        <v>179</v>
      </c>
      <c r="AW231" t="s">
        <v>179</v>
      </c>
      <c r="AX231" t="s">
        <v>179</v>
      </c>
    </row>
    <row r="232" spans="1:50" x14ac:dyDescent="0.2">
      <c r="A232" t="s">
        <v>224</v>
      </c>
      <c r="B232">
        <v>915</v>
      </c>
      <c r="C232" t="s">
        <v>31</v>
      </c>
      <c r="D232">
        <v>0.52588630025940342</v>
      </c>
      <c r="E232">
        <v>0.36792050838949253</v>
      </c>
      <c r="F232">
        <v>9</v>
      </c>
      <c r="G232" t="s">
        <v>179</v>
      </c>
      <c r="H232">
        <v>0.52588630025940342</v>
      </c>
      <c r="I232">
        <v>0.54744736083068934</v>
      </c>
      <c r="J232">
        <v>0.5216101784406163</v>
      </c>
      <c r="K232">
        <v>0.51515712670416769</v>
      </c>
      <c r="L232">
        <v>0.50941048409632494</v>
      </c>
      <c r="M232">
        <v>0.51264889579082484</v>
      </c>
      <c r="N232">
        <v>0.50765171763772177</v>
      </c>
      <c r="O232">
        <v>0.50332236089443583</v>
      </c>
      <c r="P232">
        <v>0.47257731958762877</v>
      </c>
      <c r="Q232">
        <v>0.36792050838949253</v>
      </c>
      <c r="R232" t="s">
        <v>179</v>
      </c>
      <c r="S232" t="s">
        <v>179</v>
      </c>
      <c r="T232" t="s">
        <v>179</v>
      </c>
      <c r="U232" t="s">
        <v>179</v>
      </c>
      <c r="V232" t="s">
        <v>179</v>
      </c>
      <c r="W232">
        <v>0.52030587992146315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s">
        <v>179</v>
      </c>
      <c r="AI232" t="s">
        <v>179</v>
      </c>
      <c r="AJ232" t="s">
        <v>179</v>
      </c>
      <c r="AK232" t="s">
        <v>179</v>
      </c>
      <c r="AL232" t="s">
        <v>179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 x14ac:dyDescent="0.2">
      <c r="A233" t="s">
        <v>225</v>
      </c>
      <c r="B233">
        <v>915</v>
      </c>
      <c r="C233" t="s">
        <v>63</v>
      </c>
      <c r="D233">
        <v>0.50079221770778615</v>
      </c>
      <c r="E233">
        <v>0.51412646550067265</v>
      </c>
      <c r="F233" t="s">
        <v>179</v>
      </c>
      <c r="G233" t="s">
        <v>179</v>
      </c>
      <c r="H233">
        <v>0.50079221770778615</v>
      </c>
      <c r="I233">
        <v>0.51828086733320622</v>
      </c>
      <c r="J233">
        <v>0.47680535628885706</v>
      </c>
      <c r="K233">
        <v>0.49066260893622904</v>
      </c>
      <c r="L233">
        <v>0.48489612635791879</v>
      </c>
      <c r="M233">
        <v>0.49335226401703336</v>
      </c>
      <c r="N233">
        <v>0.51555854431883896</v>
      </c>
      <c r="O233">
        <v>0.5172185699668479</v>
      </c>
      <c r="P233">
        <v>0.51257015151515151</v>
      </c>
      <c r="Q233">
        <v>0.52019344782026744</v>
      </c>
      <c r="R233">
        <v>0.50669337254888913</v>
      </c>
      <c r="S233">
        <v>0.46525410150913044</v>
      </c>
      <c r="T233">
        <v>0.53192230206428004</v>
      </c>
      <c r="U233">
        <v>0.54098218166014778</v>
      </c>
      <c r="V233">
        <v>0.51412646550067265</v>
      </c>
      <c r="W233">
        <v>0.53247827885808863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 x14ac:dyDescent="0.2">
      <c r="A234" t="s">
        <v>224</v>
      </c>
      <c r="B234">
        <v>915</v>
      </c>
      <c r="C234" t="s">
        <v>174</v>
      </c>
      <c r="D234">
        <v>0.53708040593286499</v>
      </c>
      <c r="E234">
        <v>0.37033333333333335</v>
      </c>
      <c r="F234">
        <v>10</v>
      </c>
      <c r="G234" t="s">
        <v>179</v>
      </c>
      <c r="H234">
        <v>0.53708040593286499</v>
      </c>
      <c r="I234">
        <v>0.55638382236320372</v>
      </c>
      <c r="J234">
        <v>0.53330278032386191</v>
      </c>
      <c r="K234">
        <v>0.53006433579891765</v>
      </c>
      <c r="L234">
        <v>0.52571701972140061</v>
      </c>
      <c r="M234">
        <v>0.52517949992468749</v>
      </c>
      <c r="N234">
        <v>0.51018105862440377</v>
      </c>
      <c r="O234">
        <v>0.38271574074074072</v>
      </c>
      <c r="P234">
        <v>0.48789452489414542</v>
      </c>
      <c r="Q234">
        <v>0.44906945664845033</v>
      </c>
      <c r="R234">
        <v>0.37033333333333335</v>
      </c>
      <c r="S234" t="s">
        <v>179</v>
      </c>
      <c r="T234" t="s">
        <v>179</v>
      </c>
      <c r="U234" t="s">
        <v>179</v>
      </c>
      <c r="V234" t="s">
        <v>179</v>
      </c>
      <c r="W234" t="s">
        <v>179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179</v>
      </c>
      <c r="AJ234" t="s">
        <v>179</v>
      </c>
      <c r="AK234" t="s">
        <v>179</v>
      </c>
      <c r="AL234" t="s">
        <v>179</v>
      </c>
      <c r="AM234">
        <v>0</v>
      </c>
      <c r="AN234">
        <v>0</v>
      </c>
      <c r="AO234">
        <v>0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</row>
    <row r="235" spans="1:50" x14ac:dyDescent="0.2">
      <c r="A235" t="s">
        <v>224</v>
      </c>
      <c r="B235">
        <v>916</v>
      </c>
      <c r="C235" t="s">
        <v>47</v>
      </c>
      <c r="D235">
        <v>0.52527825170121134</v>
      </c>
      <c r="E235">
        <v>0.1730977733719663</v>
      </c>
      <c r="F235">
        <v>9</v>
      </c>
      <c r="G235" t="s">
        <v>179</v>
      </c>
      <c r="H235">
        <v>0.52527825170121134</v>
      </c>
      <c r="I235">
        <v>0.54475860235152906</v>
      </c>
      <c r="J235">
        <v>0.51186873232394903</v>
      </c>
      <c r="K235">
        <v>0.50986350745188835</v>
      </c>
      <c r="L235">
        <v>0.49513968006795017</v>
      </c>
      <c r="M235">
        <v>0.49885186278644739</v>
      </c>
      <c r="N235">
        <v>0.50115623208378612</v>
      </c>
      <c r="O235">
        <v>0.51293745133244939</v>
      </c>
      <c r="P235">
        <v>0.47659620599288455</v>
      </c>
      <c r="Q235">
        <v>0.1730977733719663</v>
      </c>
      <c r="R235" t="s">
        <v>179</v>
      </c>
      <c r="S235" t="s">
        <v>179</v>
      </c>
      <c r="T235" t="s">
        <v>179</v>
      </c>
      <c r="U235" t="s">
        <v>179</v>
      </c>
      <c r="V235" t="s">
        <v>179</v>
      </c>
      <c r="W235" t="s">
        <v>179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s">
        <v>179</v>
      </c>
      <c r="AI235" t="s">
        <v>179</v>
      </c>
      <c r="AJ235" t="s">
        <v>179</v>
      </c>
      <c r="AK235" t="s">
        <v>179</v>
      </c>
      <c r="AL235" t="s">
        <v>179</v>
      </c>
      <c r="AM235">
        <v>0</v>
      </c>
      <c r="AN235">
        <v>0</v>
      </c>
      <c r="AO235">
        <v>0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</row>
    <row r="236" spans="1:50" x14ac:dyDescent="0.2">
      <c r="A236" t="s">
        <v>225</v>
      </c>
      <c r="B236">
        <v>916</v>
      </c>
      <c r="C236" t="s">
        <v>76</v>
      </c>
      <c r="D236">
        <v>0.57751049274131749</v>
      </c>
      <c r="E236">
        <v>0.57022677395757138</v>
      </c>
      <c r="F236" t="s">
        <v>179</v>
      </c>
      <c r="G236" t="s">
        <v>179</v>
      </c>
      <c r="H236">
        <v>0.57751049274131749</v>
      </c>
      <c r="I236">
        <v>0.57089699256298698</v>
      </c>
      <c r="J236">
        <v>0.55945442793093536</v>
      </c>
      <c r="K236">
        <v>0.57367634906583009</v>
      </c>
      <c r="L236">
        <v>0.53789395732110279</v>
      </c>
      <c r="M236">
        <v>0.57243076802261661</v>
      </c>
      <c r="N236">
        <v>0.58759027033464095</v>
      </c>
      <c r="O236">
        <v>0.59419680403700592</v>
      </c>
      <c r="P236">
        <v>0.5946569267473425</v>
      </c>
      <c r="Q236">
        <v>0.57464981417028738</v>
      </c>
      <c r="R236">
        <v>0.57585152786398952</v>
      </c>
      <c r="S236">
        <v>0.5595137444000331</v>
      </c>
      <c r="T236">
        <v>0.57429934520095682</v>
      </c>
      <c r="U236">
        <v>0.59117300572197917</v>
      </c>
      <c r="V236">
        <v>0.57022677395757138</v>
      </c>
      <c r="W236" t="s">
        <v>179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 x14ac:dyDescent="0.2">
      <c r="A237" t="s">
        <v>224</v>
      </c>
      <c r="B237">
        <v>916</v>
      </c>
      <c r="C237" t="s">
        <v>131</v>
      </c>
      <c r="D237">
        <v>0.55975888588651013</v>
      </c>
      <c r="E237">
        <v>0.39133333333333331</v>
      </c>
      <c r="F237">
        <v>9</v>
      </c>
      <c r="G237" t="s">
        <v>179</v>
      </c>
      <c r="H237">
        <v>0.55975888588651013</v>
      </c>
      <c r="I237">
        <v>0.56562136438657618</v>
      </c>
      <c r="J237">
        <v>0.53722609708042268</v>
      </c>
      <c r="K237">
        <v>0.52772565666041271</v>
      </c>
      <c r="L237">
        <v>0.52832972923802102</v>
      </c>
      <c r="M237">
        <v>0.51707145874189175</v>
      </c>
      <c r="N237">
        <v>0.52051647708745774</v>
      </c>
      <c r="O237">
        <v>0.51510218393922946</v>
      </c>
      <c r="P237">
        <v>0.4973785673678226</v>
      </c>
      <c r="Q237">
        <v>0.39133333333333331</v>
      </c>
      <c r="R237" t="s">
        <v>179</v>
      </c>
      <c r="S237" t="s">
        <v>179</v>
      </c>
      <c r="T237" t="s">
        <v>179</v>
      </c>
      <c r="U237" t="s">
        <v>179</v>
      </c>
      <c r="V237" t="s">
        <v>179</v>
      </c>
      <c r="W237" t="s">
        <v>179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s">
        <v>179</v>
      </c>
      <c r="AI237" t="s">
        <v>179</v>
      </c>
      <c r="AJ237" t="s">
        <v>179</v>
      </c>
      <c r="AK237" t="s">
        <v>179</v>
      </c>
      <c r="AL237" t="s">
        <v>179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</row>
    <row r="238" spans="1:50" x14ac:dyDescent="0.2">
      <c r="A238" t="s">
        <v>224</v>
      </c>
      <c r="B238">
        <v>917</v>
      </c>
      <c r="C238" t="s">
        <v>55</v>
      </c>
      <c r="D238">
        <v>0.51516042615723734</v>
      </c>
      <c r="E238">
        <v>0.33055787242442086</v>
      </c>
      <c r="F238">
        <v>7</v>
      </c>
      <c r="G238" t="s">
        <v>179</v>
      </c>
      <c r="H238">
        <v>0.51516042615723734</v>
      </c>
      <c r="I238">
        <v>0.53353457051577313</v>
      </c>
      <c r="J238">
        <v>0.50344654597126148</v>
      </c>
      <c r="K238">
        <v>0.52214559386973169</v>
      </c>
      <c r="L238">
        <v>0.48326320872170853</v>
      </c>
      <c r="M238">
        <v>0.4911015971664861</v>
      </c>
      <c r="N238">
        <v>0.50235710727049387</v>
      </c>
      <c r="O238">
        <v>0.33055787242442086</v>
      </c>
      <c r="P238" t="s">
        <v>179</v>
      </c>
      <c r="Q238" t="s">
        <v>179</v>
      </c>
      <c r="R238" t="s">
        <v>179</v>
      </c>
      <c r="S238" t="s">
        <v>179</v>
      </c>
      <c r="T238" t="s">
        <v>179</v>
      </c>
      <c r="U238" t="s">
        <v>179</v>
      </c>
      <c r="V238" t="s">
        <v>179</v>
      </c>
      <c r="W238" t="s">
        <v>179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179</v>
      </c>
      <c r="AG238" t="s">
        <v>179</v>
      </c>
      <c r="AH238" t="s">
        <v>179</v>
      </c>
      <c r="AI238" t="s">
        <v>179</v>
      </c>
      <c r="AJ238" t="s">
        <v>179</v>
      </c>
      <c r="AK238" t="s">
        <v>179</v>
      </c>
      <c r="AL238" t="s">
        <v>179</v>
      </c>
      <c r="AM238">
        <v>0</v>
      </c>
      <c r="AN238">
        <v>0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</row>
    <row r="239" spans="1:50" x14ac:dyDescent="0.2">
      <c r="A239" t="s">
        <v>225</v>
      </c>
      <c r="B239">
        <v>917</v>
      </c>
      <c r="C239" t="s">
        <v>88</v>
      </c>
      <c r="D239">
        <v>0.57581957189028132</v>
      </c>
      <c r="E239">
        <v>0.60557638408619374</v>
      </c>
      <c r="F239" t="s">
        <v>179</v>
      </c>
      <c r="G239" t="s">
        <v>179</v>
      </c>
      <c r="H239">
        <v>0.57581957189028132</v>
      </c>
      <c r="I239">
        <v>0.56562136585365863</v>
      </c>
      <c r="J239">
        <v>0.57633899150930956</v>
      </c>
      <c r="K239">
        <v>0.57702761761081811</v>
      </c>
      <c r="L239">
        <v>0.55609618051331955</v>
      </c>
      <c r="M239">
        <v>0.57407621915904083</v>
      </c>
      <c r="N239">
        <v>0.58466666666666667</v>
      </c>
      <c r="O239">
        <v>0.57962362836376202</v>
      </c>
      <c r="P239">
        <v>0.58233333333333326</v>
      </c>
      <c r="Q239">
        <v>0.56746821259906144</v>
      </c>
      <c r="R239">
        <v>0.57966666666666666</v>
      </c>
      <c r="S239">
        <v>0.60966666666666658</v>
      </c>
      <c r="T239">
        <v>0.60016791852291718</v>
      </c>
      <c r="U239">
        <v>0.60382015237686448</v>
      </c>
      <c r="V239">
        <v>0.60557638408619374</v>
      </c>
      <c r="W239" t="s">
        <v>179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 x14ac:dyDescent="0.2">
      <c r="A240" t="s">
        <v>224</v>
      </c>
      <c r="B240">
        <v>917</v>
      </c>
      <c r="C240" t="s">
        <v>117</v>
      </c>
      <c r="D240">
        <v>0.53134580144553156</v>
      </c>
      <c r="E240">
        <v>0.19666666666666666</v>
      </c>
      <c r="F240">
        <v>8</v>
      </c>
      <c r="G240" t="s">
        <v>179</v>
      </c>
      <c r="H240">
        <v>0.53134580144553156</v>
      </c>
      <c r="I240">
        <v>0.5074475115692928</v>
      </c>
      <c r="J240">
        <v>0.49044953358208948</v>
      </c>
      <c r="K240">
        <v>0.49786462730807668</v>
      </c>
      <c r="L240">
        <v>0.50231232759801658</v>
      </c>
      <c r="M240">
        <v>0.48350452435800606</v>
      </c>
      <c r="N240">
        <v>0.46942317282100399</v>
      </c>
      <c r="O240">
        <v>0.42666666666666669</v>
      </c>
      <c r="P240">
        <v>0.19666666666666666</v>
      </c>
      <c r="Q240" t="s">
        <v>179</v>
      </c>
      <c r="R240" t="s">
        <v>179</v>
      </c>
      <c r="S240" t="s">
        <v>179</v>
      </c>
      <c r="T240" t="s">
        <v>179</v>
      </c>
      <c r="U240" t="s">
        <v>179</v>
      </c>
      <c r="V240" t="s">
        <v>179</v>
      </c>
      <c r="W240" t="s">
        <v>179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179</v>
      </c>
      <c r="AH240" t="s">
        <v>179</v>
      </c>
      <c r="AI240" t="s">
        <v>179</v>
      </c>
      <c r="AJ240" t="s">
        <v>179</v>
      </c>
      <c r="AK240" t="s">
        <v>179</v>
      </c>
      <c r="AL240" t="s">
        <v>179</v>
      </c>
      <c r="AM240">
        <v>0</v>
      </c>
      <c r="AN240">
        <v>0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</row>
    <row r="241" spans="1:50" x14ac:dyDescent="0.2">
      <c r="A241" t="s">
        <v>224</v>
      </c>
      <c r="B241">
        <v>918</v>
      </c>
      <c r="C241" t="s">
        <v>34</v>
      </c>
      <c r="D241">
        <v>0.53396765896621423</v>
      </c>
      <c r="E241">
        <v>0.36400458651984025</v>
      </c>
      <c r="F241">
        <v>11</v>
      </c>
      <c r="G241" t="s">
        <v>179</v>
      </c>
      <c r="H241">
        <v>0.53396765896621423</v>
      </c>
      <c r="I241">
        <v>0.5330708572566375</v>
      </c>
      <c r="J241">
        <v>0.5018103743368495</v>
      </c>
      <c r="K241">
        <v>0.50049646852123875</v>
      </c>
      <c r="L241">
        <v>0.50289017341040465</v>
      </c>
      <c r="M241">
        <v>0.50049584790696722</v>
      </c>
      <c r="N241">
        <v>0.49800562823788341</v>
      </c>
      <c r="O241">
        <v>0.49733333333333335</v>
      </c>
      <c r="P241">
        <v>0.4785836276340556</v>
      </c>
      <c r="Q241">
        <v>0.43958225667119405</v>
      </c>
      <c r="R241">
        <v>0.39963691688373193</v>
      </c>
      <c r="S241">
        <v>0.36400458651984025</v>
      </c>
      <c r="T241" t="s">
        <v>179</v>
      </c>
      <c r="U241" t="s">
        <v>179</v>
      </c>
      <c r="V241" t="s">
        <v>179</v>
      </c>
      <c r="W241" t="s">
        <v>179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179</v>
      </c>
      <c r="AK241" t="s">
        <v>179</v>
      </c>
      <c r="AL241" t="s">
        <v>179</v>
      </c>
      <c r="AM241">
        <v>0</v>
      </c>
      <c r="AN241">
        <v>0</v>
      </c>
      <c r="AO241">
        <v>0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</row>
    <row r="242" spans="1:50" x14ac:dyDescent="0.2">
      <c r="A242" t="s">
        <v>225</v>
      </c>
      <c r="B242">
        <v>918</v>
      </c>
      <c r="C242" t="s">
        <v>111</v>
      </c>
      <c r="D242">
        <v>0.46779969367041152</v>
      </c>
      <c r="E242">
        <v>0.49646801313302164</v>
      </c>
      <c r="F242" t="s">
        <v>179</v>
      </c>
      <c r="G242" t="s">
        <v>179</v>
      </c>
      <c r="H242">
        <v>0.46779969367041152</v>
      </c>
      <c r="I242">
        <v>0.47737179399113061</v>
      </c>
      <c r="J242">
        <v>0.46178010471204184</v>
      </c>
      <c r="K242">
        <v>0.48261342026623194</v>
      </c>
      <c r="L242">
        <v>0.45784413229835969</v>
      </c>
      <c r="M242">
        <v>0.47976720687354374</v>
      </c>
      <c r="N242">
        <v>0.50426156255124432</v>
      </c>
      <c r="O242">
        <v>0.51448263203530509</v>
      </c>
      <c r="P242">
        <v>0.49638306574127533</v>
      </c>
      <c r="Q242">
        <v>0.49035776034047085</v>
      </c>
      <c r="R242">
        <v>0.48764280797361254</v>
      </c>
      <c r="S242">
        <v>0.47073571015331211</v>
      </c>
      <c r="T242">
        <v>0.52179558987200891</v>
      </c>
      <c r="U242">
        <v>0.52568039372397246</v>
      </c>
      <c r="V242">
        <v>0.49646801313302164</v>
      </c>
      <c r="W242" t="s">
        <v>179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 x14ac:dyDescent="0.2">
      <c r="A243" t="s">
        <v>224</v>
      </c>
      <c r="B243">
        <v>918</v>
      </c>
      <c r="C243" t="s">
        <v>144</v>
      </c>
      <c r="D243">
        <v>0.47166666666666668</v>
      </c>
      <c r="E243">
        <v>0.25841875678606557</v>
      </c>
      <c r="F243">
        <v>11</v>
      </c>
      <c r="G243" t="s">
        <v>179</v>
      </c>
      <c r="H243">
        <v>0.47166666666666668</v>
      </c>
      <c r="I243">
        <v>0.48133333333333334</v>
      </c>
      <c r="J243">
        <v>0.46064421571963249</v>
      </c>
      <c r="K243">
        <v>0.46201387091131713</v>
      </c>
      <c r="L243">
        <v>0.45101987045817293</v>
      </c>
      <c r="M243">
        <v>0.45566666666666666</v>
      </c>
      <c r="N243">
        <v>0.47700000000000004</v>
      </c>
      <c r="O243">
        <v>0.47033333333333333</v>
      </c>
      <c r="P243">
        <v>0.45762180792730689</v>
      </c>
      <c r="Q243">
        <v>0.396310015895318</v>
      </c>
      <c r="R243">
        <v>0.35201235637976208</v>
      </c>
      <c r="S243">
        <v>0.25841875678606557</v>
      </c>
      <c r="T243" t="s">
        <v>179</v>
      </c>
      <c r="U243" t="s">
        <v>179</v>
      </c>
      <c r="V243" t="s">
        <v>179</v>
      </c>
      <c r="W243" t="s">
        <v>179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179</v>
      </c>
      <c r="AK243" t="s">
        <v>179</v>
      </c>
      <c r="AL243" t="s">
        <v>179</v>
      </c>
      <c r="AM243">
        <v>0</v>
      </c>
      <c r="AN243">
        <v>0</v>
      </c>
      <c r="AO243">
        <v>0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6539E-4296-2040-9C99-CC6694C7A6D8}">
  <dimension ref="A1:A243"/>
  <sheetViews>
    <sheetView workbookViewId="0">
      <selection sqref="A1:A243"/>
    </sheetView>
  </sheetViews>
  <sheetFormatPr baseColWidth="10" defaultRowHeight="16" x14ac:dyDescent="0.2"/>
  <cols>
    <col min="1" max="1" width="20.6640625" customWidth="1"/>
  </cols>
  <sheetData>
    <row r="1" spans="1:1" x14ac:dyDescent="0.2">
      <c r="A1" t="s">
        <v>178</v>
      </c>
    </row>
    <row r="2" spans="1:1" x14ac:dyDescent="0.2">
      <c r="A2" t="s">
        <v>179</v>
      </c>
    </row>
    <row r="3" spans="1:1" x14ac:dyDescent="0.2">
      <c r="A3">
        <v>11</v>
      </c>
    </row>
    <row r="4" spans="1:1" x14ac:dyDescent="0.2">
      <c r="A4">
        <v>10</v>
      </c>
    </row>
    <row r="5" spans="1:1" x14ac:dyDescent="0.2">
      <c r="A5">
        <v>11</v>
      </c>
    </row>
    <row r="6" spans="1:1" x14ac:dyDescent="0.2">
      <c r="A6">
        <v>11</v>
      </c>
    </row>
    <row r="7" spans="1:1" x14ac:dyDescent="0.2">
      <c r="A7">
        <v>9</v>
      </c>
    </row>
    <row r="8" spans="1:1" x14ac:dyDescent="0.2">
      <c r="A8">
        <v>10</v>
      </c>
    </row>
    <row r="9" spans="1:1" x14ac:dyDescent="0.2">
      <c r="A9">
        <v>7</v>
      </c>
    </row>
    <row r="10" spans="1:1" x14ac:dyDescent="0.2">
      <c r="A10">
        <v>7</v>
      </c>
    </row>
    <row r="11" spans="1:1" x14ac:dyDescent="0.2">
      <c r="A11">
        <v>8</v>
      </c>
    </row>
    <row r="12" spans="1:1" x14ac:dyDescent="0.2">
      <c r="A12" t="s">
        <v>179</v>
      </c>
    </row>
    <row r="13" spans="1:1" x14ac:dyDescent="0.2">
      <c r="A13">
        <v>9</v>
      </c>
    </row>
    <row r="14" spans="1:1" x14ac:dyDescent="0.2">
      <c r="A14">
        <v>9</v>
      </c>
    </row>
    <row r="15" spans="1:1" x14ac:dyDescent="0.2">
      <c r="A15">
        <v>6</v>
      </c>
    </row>
    <row r="16" spans="1:1" x14ac:dyDescent="0.2">
      <c r="A16">
        <v>6</v>
      </c>
    </row>
    <row r="17" spans="1:1" x14ac:dyDescent="0.2">
      <c r="A17">
        <v>13</v>
      </c>
    </row>
    <row r="18" spans="1:1" x14ac:dyDescent="0.2">
      <c r="A18">
        <v>9</v>
      </c>
    </row>
    <row r="19" spans="1:1" x14ac:dyDescent="0.2">
      <c r="A19">
        <v>10</v>
      </c>
    </row>
    <row r="20" spans="1:1" x14ac:dyDescent="0.2">
      <c r="A20">
        <v>11</v>
      </c>
    </row>
    <row r="21" spans="1:1" x14ac:dyDescent="0.2">
      <c r="A21">
        <v>10</v>
      </c>
    </row>
    <row r="22" spans="1:1" x14ac:dyDescent="0.2">
      <c r="A22">
        <v>9</v>
      </c>
    </row>
    <row r="23" spans="1:1" x14ac:dyDescent="0.2">
      <c r="A23">
        <v>8</v>
      </c>
    </row>
    <row r="24" spans="1:1" x14ac:dyDescent="0.2">
      <c r="A24">
        <v>10</v>
      </c>
    </row>
    <row r="25" spans="1:1" x14ac:dyDescent="0.2">
      <c r="A25">
        <v>14</v>
      </c>
    </row>
    <row r="26" spans="1:1" x14ac:dyDescent="0.2">
      <c r="A26">
        <v>10</v>
      </c>
    </row>
    <row r="27" spans="1:1" x14ac:dyDescent="0.2">
      <c r="A27" t="s">
        <v>179</v>
      </c>
    </row>
    <row r="28" spans="1:1" x14ac:dyDescent="0.2">
      <c r="A28">
        <v>8</v>
      </c>
    </row>
    <row r="29" spans="1:1" x14ac:dyDescent="0.2">
      <c r="A29">
        <v>8</v>
      </c>
    </row>
    <row r="30" spans="1:1" x14ac:dyDescent="0.2">
      <c r="A30">
        <v>13</v>
      </c>
    </row>
    <row r="31" spans="1:1" x14ac:dyDescent="0.2">
      <c r="A31">
        <v>12</v>
      </c>
    </row>
    <row r="32" spans="1:1" x14ac:dyDescent="0.2">
      <c r="A32">
        <v>9</v>
      </c>
    </row>
    <row r="33" spans="1:1" x14ac:dyDescent="0.2">
      <c r="A33">
        <v>9</v>
      </c>
    </row>
    <row r="34" spans="1:1" x14ac:dyDescent="0.2">
      <c r="A34">
        <v>8</v>
      </c>
    </row>
    <row r="35" spans="1:1" x14ac:dyDescent="0.2">
      <c r="A35">
        <v>9</v>
      </c>
    </row>
    <row r="36" spans="1:1" x14ac:dyDescent="0.2">
      <c r="A36">
        <v>5</v>
      </c>
    </row>
    <row r="37" spans="1:1" x14ac:dyDescent="0.2">
      <c r="A37" t="s">
        <v>179</v>
      </c>
    </row>
    <row r="38" spans="1:1" x14ac:dyDescent="0.2">
      <c r="A38" t="s">
        <v>179</v>
      </c>
    </row>
    <row r="39" spans="1:1" x14ac:dyDescent="0.2">
      <c r="A39">
        <v>8</v>
      </c>
    </row>
    <row r="40" spans="1:1" x14ac:dyDescent="0.2">
      <c r="A40">
        <v>10</v>
      </c>
    </row>
    <row r="41" spans="1:1" x14ac:dyDescent="0.2">
      <c r="A41" t="s">
        <v>179</v>
      </c>
    </row>
    <row r="42" spans="1:1" x14ac:dyDescent="0.2">
      <c r="A42">
        <v>8</v>
      </c>
    </row>
    <row r="43" spans="1:1" x14ac:dyDescent="0.2">
      <c r="A43">
        <v>11</v>
      </c>
    </row>
    <row r="44" spans="1:1" x14ac:dyDescent="0.2">
      <c r="A44">
        <v>9</v>
      </c>
    </row>
    <row r="45" spans="1:1" x14ac:dyDescent="0.2">
      <c r="A45">
        <v>6</v>
      </c>
    </row>
    <row r="46" spans="1:1" x14ac:dyDescent="0.2">
      <c r="A46">
        <v>9</v>
      </c>
    </row>
    <row r="47" spans="1:1" x14ac:dyDescent="0.2">
      <c r="A47">
        <v>6</v>
      </c>
    </row>
    <row r="48" spans="1:1" x14ac:dyDescent="0.2">
      <c r="A48">
        <v>8</v>
      </c>
    </row>
    <row r="49" spans="1:1" x14ac:dyDescent="0.2">
      <c r="A49">
        <v>7</v>
      </c>
    </row>
    <row r="50" spans="1:1" x14ac:dyDescent="0.2">
      <c r="A50">
        <v>8</v>
      </c>
    </row>
    <row r="51" spans="1:1" x14ac:dyDescent="0.2">
      <c r="A51">
        <v>8</v>
      </c>
    </row>
    <row r="52" spans="1:1" x14ac:dyDescent="0.2">
      <c r="A52">
        <v>11</v>
      </c>
    </row>
    <row r="53" spans="1:1" x14ac:dyDescent="0.2">
      <c r="A53">
        <v>11</v>
      </c>
    </row>
    <row r="54" spans="1:1" x14ac:dyDescent="0.2">
      <c r="A54" t="s">
        <v>179</v>
      </c>
    </row>
    <row r="55" spans="1:1" x14ac:dyDescent="0.2">
      <c r="A55">
        <v>6</v>
      </c>
    </row>
    <row r="56" spans="1:1" x14ac:dyDescent="0.2">
      <c r="A56">
        <v>11</v>
      </c>
    </row>
    <row r="57" spans="1:1" x14ac:dyDescent="0.2">
      <c r="A57">
        <v>6</v>
      </c>
    </row>
    <row r="58" spans="1:1" x14ac:dyDescent="0.2">
      <c r="A58" t="s">
        <v>179</v>
      </c>
    </row>
    <row r="59" spans="1:1" x14ac:dyDescent="0.2">
      <c r="A59">
        <v>10</v>
      </c>
    </row>
    <row r="60" spans="1:1" x14ac:dyDescent="0.2">
      <c r="A60">
        <v>11</v>
      </c>
    </row>
    <row r="61" spans="1:1" x14ac:dyDescent="0.2">
      <c r="A61">
        <v>8</v>
      </c>
    </row>
    <row r="62" spans="1:1" x14ac:dyDescent="0.2">
      <c r="A62">
        <v>11</v>
      </c>
    </row>
    <row r="63" spans="1:1" x14ac:dyDescent="0.2">
      <c r="A63" t="s">
        <v>179</v>
      </c>
    </row>
    <row r="64" spans="1:1" x14ac:dyDescent="0.2">
      <c r="A64">
        <v>10</v>
      </c>
    </row>
    <row r="65" spans="1:1" x14ac:dyDescent="0.2">
      <c r="A65">
        <v>8</v>
      </c>
    </row>
    <row r="66" spans="1:1" x14ac:dyDescent="0.2">
      <c r="A66">
        <v>8</v>
      </c>
    </row>
    <row r="67" spans="1:1" x14ac:dyDescent="0.2">
      <c r="A67">
        <v>11</v>
      </c>
    </row>
    <row r="68" spans="1:1" x14ac:dyDescent="0.2">
      <c r="A68">
        <v>10</v>
      </c>
    </row>
    <row r="69" spans="1:1" x14ac:dyDescent="0.2">
      <c r="A69">
        <v>9</v>
      </c>
    </row>
    <row r="70" spans="1:1" x14ac:dyDescent="0.2">
      <c r="A70" t="s">
        <v>179</v>
      </c>
    </row>
    <row r="71" spans="1:1" x14ac:dyDescent="0.2">
      <c r="A71" t="s">
        <v>179</v>
      </c>
    </row>
    <row r="72" spans="1:1" x14ac:dyDescent="0.2">
      <c r="A72">
        <v>11</v>
      </c>
    </row>
    <row r="73" spans="1:1" x14ac:dyDescent="0.2">
      <c r="A73" t="s">
        <v>179</v>
      </c>
    </row>
    <row r="74" spans="1:1" x14ac:dyDescent="0.2">
      <c r="A74">
        <v>11</v>
      </c>
    </row>
    <row r="75" spans="1:1" x14ac:dyDescent="0.2">
      <c r="A75">
        <v>9</v>
      </c>
    </row>
    <row r="76" spans="1:1" x14ac:dyDescent="0.2">
      <c r="A76" t="s">
        <v>179</v>
      </c>
    </row>
    <row r="77" spans="1:1" x14ac:dyDescent="0.2">
      <c r="A77">
        <v>9</v>
      </c>
    </row>
    <row r="78" spans="1:1" x14ac:dyDescent="0.2">
      <c r="A78">
        <v>12</v>
      </c>
    </row>
    <row r="79" spans="1:1" x14ac:dyDescent="0.2">
      <c r="A79" t="s">
        <v>179</v>
      </c>
    </row>
    <row r="80" spans="1:1" x14ac:dyDescent="0.2">
      <c r="A80" t="s">
        <v>179</v>
      </c>
    </row>
    <row r="81" spans="1:1" x14ac:dyDescent="0.2">
      <c r="A81">
        <v>9</v>
      </c>
    </row>
    <row r="82" spans="1:1" x14ac:dyDescent="0.2">
      <c r="A82" t="s">
        <v>179</v>
      </c>
    </row>
    <row r="83" spans="1:1" x14ac:dyDescent="0.2">
      <c r="A83">
        <v>9</v>
      </c>
    </row>
    <row r="84" spans="1:1" x14ac:dyDescent="0.2">
      <c r="A84">
        <v>9</v>
      </c>
    </row>
    <row r="85" spans="1:1" x14ac:dyDescent="0.2">
      <c r="A85" t="s">
        <v>179</v>
      </c>
    </row>
    <row r="86" spans="1:1" x14ac:dyDescent="0.2">
      <c r="A86">
        <v>8</v>
      </c>
    </row>
    <row r="87" spans="1:1" x14ac:dyDescent="0.2">
      <c r="A87">
        <v>8</v>
      </c>
    </row>
    <row r="88" spans="1:1" x14ac:dyDescent="0.2">
      <c r="A88" t="s">
        <v>179</v>
      </c>
    </row>
    <row r="89" spans="1:1" x14ac:dyDescent="0.2">
      <c r="A89">
        <v>10</v>
      </c>
    </row>
    <row r="90" spans="1:1" x14ac:dyDescent="0.2">
      <c r="A90">
        <v>14</v>
      </c>
    </row>
    <row r="91" spans="1:1" x14ac:dyDescent="0.2">
      <c r="A91" t="s">
        <v>179</v>
      </c>
    </row>
    <row r="92" spans="1:1" x14ac:dyDescent="0.2">
      <c r="A92">
        <v>11</v>
      </c>
    </row>
    <row r="93" spans="1:1" x14ac:dyDescent="0.2">
      <c r="A93">
        <v>9</v>
      </c>
    </row>
    <row r="94" spans="1:1" x14ac:dyDescent="0.2">
      <c r="A94" t="s">
        <v>179</v>
      </c>
    </row>
    <row r="95" spans="1:1" x14ac:dyDescent="0.2">
      <c r="A95">
        <v>9</v>
      </c>
    </row>
    <row r="96" spans="1:1" x14ac:dyDescent="0.2">
      <c r="A96">
        <v>10</v>
      </c>
    </row>
    <row r="97" spans="1:1" x14ac:dyDescent="0.2">
      <c r="A97" t="s">
        <v>179</v>
      </c>
    </row>
    <row r="98" spans="1:1" x14ac:dyDescent="0.2">
      <c r="A98">
        <v>7</v>
      </c>
    </row>
    <row r="99" spans="1:1" x14ac:dyDescent="0.2">
      <c r="A99">
        <v>11</v>
      </c>
    </row>
    <row r="100" spans="1:1" x14ac:dyDescent="0.2">
      <c r="A100" t="s">
        <v>179</v>
      </c>
    </row>
    <row r="101" spans="1:1" x14ac:dyDescent="0.2">
      <c r="A101">
        <v>9</v>
      </c>
    </row>
    <row r="102" spans="1:1" x14ac:dyDescent="0.2">
      <c r="A102">
        <v>9</v>
      </c>
    </row>
    <row r="103" spans="1:1" x14ac:dyDescent="0.2">
      <c r="A103" t="s">
        <v>179</v>
      </c>
    </row>
    <row r="104" spans="1:1" x14ac:dyDescent="0.2">
      <c r="A104">
        <v>9</v>
      </c>
    </row>
    <row r="105" spans="1:1" x14ac:dyDescent="0.2">
      <c r="A105">
        <v>7</v>
      </c>
    </row>
    <row r="106" spans="1:1" x14ac:dyDescent="0.2">
      <c r="A106" t="s">
        <v>179</v>
      </c>
    </row>
    <row r="107" spans="1:1" x14ac:dyDescent="0.2">
      <c r="A107">
        <v>7</v>
      </c>
    </row>
    <row r="108" spans="1:1" x14ac:dyDescent="0.2">
      <c r="A108">
        <v>6</v>
      </c>
    </row>
    <row r="109" spans="1:1" x14ac:dyDescent="0.2">
      <c r="A109" t="s">
        <v>179</v>
      </c>
    </row>
    <row r="110" spans="1:1" x14ac:dyDescent="0.2">
      <c r="A110">
        <v>4</v>
      </c>
    </row>
    <row r="111" spans="1:1" x14ac:dyDescent="0.2">
      <c r="A111" t="s">
        <v>179</v>
      </c>
    </row>
    <row r="112" spans="1:1" x14ac:dyDescent="0.2">
      <c r="A112" t="s">
        <v>179</v>
      </c>
    </row>
    <row r="113" spans="1:1" x14ac:dyDescent="0.2">
      <c r="A113" t="s">
        <v>179</v>
      </c>
    </row>
    <row r="114" spans="1:1" x14ac:dyDescent="0.2">
      <c r="A114">
        <v>11</v>
      </c>
    </row>
    <row r="115" spans="1:1" x14ac:dyDescent="0.2">
      <c r="A115" t="s">
        <v>179</v>
      </c>
    </row>
    <row r="116" spans="1:1" x14ac:dyDescent="0.2">
      <c r="A116">
        <v>12</v>
      </c>
    </row>
    <row r="117" spans="1:1" x14ac:dyDescent="0.2">
      <c r="A117" t="s">
        <v>179</v>
      </c>
    </row>
    <row r="118" spans="1:1" x14ac:dyDescent="0.2">
      <c r="A118" t="s">
        <v>179</v>
      </c>
    </row>
    <row r="119" spans="1:1" x14ac:dyDescent="0.2">
      <c r="A119" t="s">
        <v>179</v>
      </c>
    </row>
    <row r="120" spans="1:1" x14ac:dyDescent="0.2">
      <c r="A120" t="s">
        <v>179</v>
      </c>
    </row>
    <row r="121" spans="1:1" x14ac:dyDescent="0.2">
      <c r="A121" t="s">
        <v>179</v>
      </c>
    </row>
    <row r="122" spans="1:1" x14ac:dyDescent="0.2">
      <c r="A122" t="s">
        <v>179</v>
      </c>
    </row>
    <row r="123" spans="1:1" x14ac:dyDescent="0.2">
      <c r="A123">
        <v>9</v>
      </c>
    </row>
    <row r="124" spans="1:1" x14ac:dyDescent="0.2">
      <c r="A124" t="s">
        <v>179</v>
      </c>
    </row>
    <row r="125" spans="1:1" x14ac:dyDescent="0.2">
      <c r="A125">
        <v>10</v>
      </c>
    </row>
    <row r="126" spans="1:1" x14ac:dyDescent="0.2">
      <c r="A126" t="s">
        <v>179</v>
      </c>
    </row>
    <row r="127" spans="1:1" x14ac:dyDescent="0.2">
      <c r="A127" t="s">
        <v>179</v>
      </c>
    </row>
    <row r="128" spans="1:1" x14ac:dyDescent="0.2">
      <c r="A128" t="s">
        <v>179</v>
      </c>
    </row>
    <row r="129" spans="1:1" x14ac:dyDescent="0.2">
      <c r="A129">
        <v>10</v>
      </c>
    </row>
    <row r="130" spans="1:1" x14ac:dyDescent="0.2">
      <c r="A130" t="s">
        <v>179</v>
      </c>
    </row>
    <row r="131" spans="1:1" x14ac:dyDescent="0.2">
      <c r="A131">
        <v>7</v>
      </c>
    </row>
    <row r="132" spans="1:1" x14ac:dyDescent="0.2">
      <c r="A132" t="s">
        <v>179</v>
      </c>
    </row>
    <row r="133" spans="1:1" x14ac:dyDescent="0.2">
      <c r="A133">
        <v>8</v>
      </c>
    </row>
    <row r="134" spans="1:1" x14ac:dyDescent="0.2">
      <c r="A134">
        <v>10</v>
      </c>
    </row>
    <row r="135" spans="1:1" x14ac:dyDescent="0.2">
      <c r="A135" t="s">
        <v>179</v>
      </c>
    </row>
    <row r="136" spans="1:1" x14ac:dyDescent="0.2">
      <c r="A136">
        <v>10</v>
      </c>
    </row>
    <row r="137" spans="1:1" x14ac:dyDescent="0.2">
      <c r="A137">
        <v>7</v>
      </c>
    </row>
    <row r="138" spans="1:1" x14ac:dyDescent="0.2">
      <c r="A138" t="s">
        <v>179</v>
      </c>
    </row>
    <row r="139" spans="1:1" x14ac:dyDescent="0.2">
      <c r="A139">
        <v>7</v>
      </c>
    </row>
    <row r="140" spans="1:1" x14ac:dyDescent="0.2">
      <c r="A140" t="s">
        <v>179</v>
      </c>
    </row>
    <row r="141" spans="1:1" x14ac:dyDescent="0.2">
      <c r="A141" t="s">
        <v>179</v>
      </c>
    </row>
    <row r="142" spans="1:1" x14ac:dyDescent="0.2">
      <c r="A142">
        <v>12</v>
      </c>
    </row>
    <row r="143" spans="1:1" x14ac:dyDescent="0.2">
      <c r="A143">
        <v>8</v>
      </c>
    </row>
    <row r="144" spans="1:1" x14ac:dyDescent="0.2">
      <c r="A144" t="s">
        <v>179</v>
      </c>
    </row>
    <row r="145" spans="1:1" x14ac:dyDescent="0.2">
      <c r="A145">
        <v>8</v>
      </c>
    </row>
    <row r="146" spans="1:1" x14ac:dyDescent="0.2">
      <c r="A146" t="s">
        <v>179</v>
      </c>
    </row>
    <row r="147" spans="1:1" x14ac:dyDescent="0.2">
      <c r="A147">
        <v>8</v>
      </c>
    </row>
    <row r="148" spans="1:1" x14ac:dyDescent="0.2">
      <c r="A148">
        <v>8</v>
      </c>
    </row>
    <row r="149" spans="1:1" x14ac:dyDescent="0.2">
      <c r="A149" t="s">
        <v>179</v>
      </c>
    </row>
    <row r="150" spans="1:1" x14ac:dyDescent="0.2">
      <c r="A150">
        <v>9</v>
      </c>
    </row>
    <row r="151" spans="1:1" x14ac:dyDescent="0.2">
      <c r="A151">
        <v>8</v>
      </c>
    </row>
    <row r="152" spans="1:1" x14ac:dyDescent="0.2">
      <c r="A152" t="s">
        <v>179</v>
      </c>
    </row>
    <row r="153" spans="1:1" x14ac:dyDescent="0.2">
      <c r="A153">
        <v>9</v>
      </c>
    </row>
    <row r="154" spans="1:1" x14ac:dyDescent="0.2">
      <c r="A154">
        <v>10</v>
      </c>
    </row>
    <row r="155" spans="1:1" x14ac:dyDescent="0.2">
      <c r="A155" t="s">
        <v>179</v>
      </c>
    </row>
    <row r="156" spans="1:1" x14ac:dyDescent="0.2">
      <c r="A156">
        <v>12</v>
      </c>
    </row>
    <row r="157" spans="1:1" x14ac:dyDescent="0.2">
      <c r="A157">
        <v>7</v>
      </c>
    </row>
    <row r="158" spans="1:1" x14ac:dyDescent="0.2">
      <c r="A158" t="s">
        <v>179</v>
      </c>
    </row>
    <row r="159" spans="1:1" x14ac:dyDescent="0.2">
      <c r="A159">
        <v>8</v>
      </c>
    </row>
    <row r="160" spans="1:1" x14ac:dyDescent="0.2">
      <c r="A160" t="s">
        <v>179</v>
      </c>
    </row>
    <row r="161" spans="1:1" x14ac:dyDescent="0.2">
      <c r="A161" t="s">
        <v>179</v>
      </c>
    </row>
    <row r="162" spans="1:1" x14ac:dyDescent="0.2">
      <c r="A162">
        <v>8</v>
      </c>
    </row>
    <row r="163" spans="1:1" x14ac:dyDescent="0.2">
      <c r="A163">
        <v>10</v>
      </c>
    </row>
    <row r="164" spans="1:1" x14ac:dyDescent="0.2">
      <c r="A164" t="s">
        <v>179</v>
      </c>
    </row>
    <row r="165" spans="1:1" x14ac:dyDescent="0.2">
      <c r="A165">
        <v>7</v>
      </c>
    </row>
    <row r="166" spans="1:1" x14ac:dyDescent="0.2">
      <c r="A166">
        <v>11</v>
      </c>
    </row>
    <row r="167" spans="1:1" x14ac:dyDescent="0.2">
      <c r="A167" t="s">
        <v>179</v>
      </c>
    </row>
    <row r="168" spans="1:1" x14ac:dyDescent="0.2">
      <c r="A168">
        <v>7</v>
      </c>
    </row>
    <row r="169" spans="1:1" x14ac:dyDescent="0.2">
      <c r="A169">
        <v>11</v>
      </c>
    </row>
    <row r="170" spans="1:1" x14ac:dyDescent="0.2">
      <c r="A170" t="s">
        <v>179</v>
      </c>
    </row>
    <row r="171" spans="1:1" x14ac:dyDescent="0.2">
      <c r="A171">
        <v>13</v>
      </c>
    </row>
    <row r="172" spans="1:1" x14ac:dyDescent="0.2">
      <c r="A172">
        <v>11</v>
      </c>
    </row>
    <row r="173" spans="1:1" x14ac:dyDescent="0.2">
      <c r="A173" t="s">
        <v>179</v>
      </c>
    </row>
    <row r="174" spans="1:1" x14ac:dyDescent="0.2">
      <c r="A174">
        <v>7</v>
      </c>
    </row>
    <row r="175" spans="1:1" x14ac:dyDescent="0.2">
      <c r="A175">
        <v>10</v>
      </c>
    </row>
    <row r="176" spans="1:1" x14ac:dyDescent="0.2">
      <c r="A176" t="s">
        <v>179</v>
      </c>
    </row>
    <row r="177" spans="1:1" x14ac:dyDescent="0.2">
      <c r="A177">
        <v>10</v>
      </c>
    </row>
    <row r="178" spans="1:1" x14ac:dyDescent="0.2">
      <c r="A178">
        <v>9</v>
      </c>
    </row>
    <row r="179" spans="1:1" x14ac:dyDescent="0.2">
      <c r="A179" t="s">
        <v>179</v>
      </c>
    </row>
    <row r="180" spans="1:1" x14ac:dyDescent="0.2">
      <c r="A180">
        <v>9</v>
      </c>
    </row>
    <row r="181" spans="1:1" x14ac:dyDescent="0.2">
      <c r="A181">
        <v>13</v>
      </c>
    </row>
    <row r="182" spans="1:1" x14ac:dyDescent="0.2">
      <c r="A182" t="s">
        <v>179</v>
      </c>
    </row>
    <row r="183" spans="1:1" x14ac:dyDescent="0.2">
      <c r="A183" t="s">
        <v>179</v>
      </c>
    </row>
    <row r="184" spans="1:1" x14ac:dyDescent="0.2">
      <c r="A184">
        <v>11</v>
      </c>
    </row>
    <row r="185" spans="1:1" x14ac:dyDescent="0.2">
      <c r="A185" t="s">
        <v>179</v>
      </c>
    </row>
    <row r="186" spans="1:1" x14ac:dyDescent="0.2">
      <c r="A186">
        <v>11</v>
      </c>
    </row>
    <row r="187" spans="1:1" x14ac:dyDescent="0.2">
      <c r="A187">
        <v>10</v>
      </c>
    </row>
    <row r="188" spans="1:1" x14ac:dyDescent="0.2">
      <c r="A188" t="s">
        <v>179</v>
      </c>
    </row>
    <row r="189" spans="1:1" x14ac:dyDescent="0.2">
      <c r="A189">
        <v>11</v>
      </c>
    </row>
    <row r="190" spans="1:1" x14ac:dyDescent="0.2">
      <c r="A190">
        <v>14</v>
      </c>
    </row>
    <row r="191" spans="1:1" x14ac:dyDescent="0.2">
      <c r="A191" t="s">
        <v>179</v>
      </c>
    </row>
    <row r="192" spans="1:1" x14ac:dyDescent="0.2">
      <c r="A192">
        <v>14</v>
      </c>
    </row>
    <row r="193" spans="1:1" x14ac:dyDescent="0.2">
      <c r="A193">
        <v>8</v>
      </c>
    </row>
    <row r="194" spans="1:1" x14ac:dyDescent="0.2">
      <c r="A194" t="s">
        <v>179</v>
      </c>
    </row>
    <row r="195" spans="1:1" x14ac:dyDescent="0.2">
      <c r="A195">
        <v>9</v>
      </c>
    </row>
    <row r="196" spans="1:1" x14ac:dyDescent="0.2">
      <c r="A196">
        <v>5</v>
      </c>
    </row>
    <row r="197" spans="1:1" x14ac:dyDescent="0.2">
      <c r="A197" t="s">
        <v>179</v>
      </c>
    </row>
    <row r="198" spans="1:1" x14ac:dyDescent="0.2">
      <c r="A198">
        <v>5</v>
      </c>
    </row>
    <row r="199" spans="1:1" x14ac:dyDescent="0.2">
      <c r="A199">
        <v>9</v>
      </c>
    </row>
    <row r="200" spans="1:1" x14ac:dyDescent="0.2">
      <c r="A200" t="s">
        <v>179</v>
      </c>
    </row>
    <row r="201" spans="1:1" x14ac:dyDescent="0.2">
      <c r="A201" t="s">
        <v>179</v>
      </c>
    </row>
    <row r="202" spans="1:1" x14ac:dyDescent="0.2">
      <c r="A202">
        <v>10</v>
      </c>
    </row>
    <row r="203" spans="1:1" x14ac:dyDescent="0.2">
      <c r="A203" t="s">
        <v>179</v>
      </c>
    </row>
    <row r="204" spans="1:1" x14ac:dyDescent="0.2">
      <c r="A204">
        <v>8</v>
      </c>
    </row>
    <row r="205" spans="1:1" x14ac:dyDescent="0.2">
      <c r="A205">
        <v>9</v>
      </c>
    </row>
    <row r="206" spans="1:1" x14ac:dyDescent="0.2">
      <c r="A206" t="s">
        <v>179</v>
      </c>
    </row>
    <row r="207" spans="1:1" x14ac:dyDescent="0.2">
      <c r="A207">
        <v>11</v>
      </c>
    </row>
    <row r="208" spans="1:1" x14ac:dyDescent="0.2">
      <c r="A208">
        <v>11</v>
      </c>
    </row>
    <row r="209" spans="1:1" x14ac:dyDescent="0.2">
      <c r="A209" t="s">
        <v>179</v>
      </c>
    </row>
    <row r="210" spans="1:1" x14ac:dyDescent="0.2">
      <c r="A210">
        <v>11</v>
      </c>
    </row>
    <row r="211" spans="1:1" x14ac:dyDescent="0.2">
      <c r="A211" t="s">
        <v>179</v>
      </c>
    </row>
    <row r="212" spans="1:1" x14ac:dyDescent="0.2">
      <c r="A212" t="s">
        <v>179</v>
      </c>
    </row>
    <row r="213" spans="1:1" x14ac:dyDescent="0.2">
      <c r="A213" t="s">
        <v>179</v>
      </c>
    </row>
    <row r="214" spans="1:1" x14ac:dyDescent="0.2">
      <c r="A214">
        <v>9</v>
      </c>
    </row>
    <row r="215" spans="1:1" x14ac:dyDescent="0.2">
      <c r="A215" t="s">
        <v>179</v>
      </c>
    </row>
    <row r="216" spans="1:1" x14ac:dyDescent="0.2">
      <c r="A216">
        <v>9</v>
      </c>
    </row>
    <row r="217" spans="1:1" x14ac:dyDescent="0.2">
      <c r="A217">
        <v>9</v>
      </c>
    </row>
    <row r="218" spans="1:1" x14ac:dyDescent="0.2">
      <c r="A218" t="s">
        <v>179</v>
      </c>
    </row>
    <row r="219" spans="1:1" x14ac:dyDescent="0.2">
      <c r="A219">
        <v>9</v>
      </c>
    </row>
    <row r="220" spans="1:1" x14ac:dyDescent="0.2">
      <c r="A220">
        <v>12</v>
      </c>
    </row>
    <row r="221" spans="1:1" x14ac:dyDescent="0.2">
      <c r="A221" t="s">
        <v>179</v>
      </c>
    </row>
    <row r="222" spans="1:1" x14ac:dyDescent="0.2">
      <c r="A222">
        <v>12</v>
      </c>
    </row>
    <row r="223" spans="1:1" x14ac:dyDescent="0.2">
      <c r="A223">
        <v>10</v>
      </c>
    </row>
    <row r="224" spans="1:1" x14ac:dyDescent="0.2">
      <c r="A224" t="s">
        <v>179</v>
      </c>
    </row>
    <row r="225" spans="1:1" x14ac:dyDescent="0.2">
      <c r="A225">
        <v>10</v>
      </c>
    </row>
    <row r="226" spans="1:1" x14ac:dyDescent="0.2">
      <c r="A226">
        <v>11</v>
      </c>
    </row>
    <row r="227" spans="1:1" x14ac:dyDescent="0.2">
      <c r="A227" t="s">
        <v>179</v>
      </c>
    </row>
    <row r="228" spans="1:1" x14ac:dyDescent="0.2">
      <c r="A228">
        <v>7</v>
      </c>
    </row>
    <row r="229" spans="1:1" x14ac:dyDescent="0.2">
      <c r="A229">
        <v>12</v>
      </c>
    </row>
    <row r="230" spans="1:1" x14ac:dyDescent="0.2">
      <c r="A230" t="s">
        <v>179</v>
      </c>
    </row>
    <row r="231" spans="1:1" x14ac:dyDescent="0.2">
      <c r="A231" t="s">
        <v>179</v>
      </c>
    </row>
    <row r="232" spans="1:1" x14ac:dyDescent="0.2">
      <c r="A232">
        <v>9</v>
      </c>
    </row>
    <row r="233" spans="1:1" x14ac:dyDescent="0.2">
      <c r="A233" t="s">
        <v>179</v>
      </c>
    </row>
    <row r="234" spans="1:1" x14ac:dyDescent="0.2">
      <c r="A234">
        <v>10</v>
      </c>
    </row>
    <row r="235" spans="1:1" x14ac:dyDescent="0.2">
      <c r="A235">
        <v>9</v>
      </c>
    </row>
    <row r="236" spans="1:1" x14ac:dyDescent="0.2">
      <c r="A236" t="s">
        <v>179</v>
      </c>
    </row>
    <row r="237" spans="1:1" x14ac:dyDescent="0.2">
      <c r="A237">
        <v>9</v>
      </c>
    </row>
    <row r="238" spans="1:1" x14ac:dyDescent="0.2">
      <c r="A238">
        <v>7</v>
      </c>
    </row>
    <row r="239" spans="1:1" x14ac:dyDescent="0.2">
      <c r="A239" t="s">
        <v>179</v>
      </c>
    </row>
    <row r="240" spans="1:1" x14ac:dyDescent="0.2">
      <c r="A240">
        <v>8</v>
      </c>
    </row>
    <row r="241" spans="1:1" x14ac:dyDescent="0.2">
      <c r="A241">
        <v>11</v>
      </c>
    </row>
    <row r="242" spans="1:1" x14ac:dyDescent="0.2">
      <c r="A242" t="s">
        <v>179</v>
      </c>
    </row>
    <row r="243" spans="1:1" x14ac:dyDescent="0.2">
      <c r="A243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6E4E4-78A1-DB4C-82EB-E1AF3DA8D44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F44E-A870-DE49-9114-83DB530DE22B}">
  <dimension ref="A1:G183"/>
  <sheetViews>
    <sheetView workbookViewId="0">
      <selection activeCell="D1" activeCellId="1" sqref="B1:B1048576 D1:D1048576"/>
    </sheetView>
  </sheetViews>
  <sheetFormatPr baseColWidth="10" defaultRowHeight="16" x14ac:dyDescent="0.2"/>
  <cols>
    <col min="1" max="1" width="11.5" bestFit="1" customWidth="1"/>
  </cols>
  <sheetData>
    <row r="1" spans="1:7" x14ac:dyDescent="0.2">
      <c r="A1" t="s">
        <v>226</v>
      </c>
      <c r="B1" t="s">
        <v>223</v>
      </c>
      <c r="C1" t="s">
        <v>234</v>
      </c>
      <c r="D1" t="s">
        <v>235</v>
      </c>
      <c r="F1" t="s">
        <v>239</v>
      </c>
      <c r="G1" t="s">
        <v>240</v>
      </c>
    </row>
    <row r="2" spans="1:7" x14ac:dyDescent="0.2">
      <c r="A2" t="s">
        <v>224</v>
      </c>
      <c r="B2">
        <v>580</v>
      </c>
      <c r="C2" t="s">
        <v>232</v>
      </c>
      <c r="D2" t="s">
        <v>236</v>
      </c>
      <c r="E2" t="s">
        <v>236</v>
      </c>
      <c r="F2">
        <f>COUNTIF(C2:C29,"Y")</f>
        <v>0</v>
      </c>
      <c r="G2">
        <f>COUNTIF(C2:C29,"N")</f>
        <v>28</v>
      </c>
    </row>
    <row r="3" spans="1:7" x14ac:dyDescent="0.2">
      <c r="A3" t="s">
        <v>224</v>
      </c>
      <c r="B3">
        <v>580</v>
      </c>
      <c r="C3" t="s">
        <v>232</v>
      </c>
      <c r="D3" t="s">
        <v>236</v>
      </c>
      <c r="E3" t="s">
        <v>238</v>
      </c>
      <c r="F3">
        <f>COUNTIF(C166:C183,"Y")</f>
        <v>0</v>
      </c>
      <c r="G3">
        <f>COUNTIF(C166:C183,"N")</f>
        <v>18</v>
      </c>
    </row>
    <row r="4" spans="1:7" x14ac:dyDescent="0.2">
      <c r="A4" t="s">
        <v>224</v>
      </c>
      <c r="B4">
        <v>580</v>
      </c>
      <c r="C4" t="s">
        <v>232</v>
      </c>
      <c r="D4" t="s">
        <v>236</v>
      </c>
      <c r="E4" t="s">
        <v>237</v>
      </c>
      <c r="F4">
        <f>COUNTIF(C30:C165,"Y")</f>
        <v>25</v>
      </c>
      <c r="G4">
        <f>COUNTIF(C30:C165,"N")</f>
        <v>111</v>
      </c>
    </row>
    <row r="5" spans="1:7" x14ac:dyDescent="0.2">
      <c r="A5" t="s">
        <v>224</v>
      </c>
      <c r="B5">
        <v>654</v>
      </c>
      <c r="C5" t="s">
        <v>232</v>
      </c>
      <c r="D5" t="s">
        <v>236</v>
      </c>
    </row>
    <row r="6" spans="1:7" x14ac:dyDescent="0.2">
      <c r="A6" t="s">
        <v>224</v>
      </c>
      <c r="B6">
        <v>654</v>
      </c>
      <c r="C6" t="s">
        <v>232</v>
      </c>
      <c r="D6" t="s">
        <v>236</v>
      </c>
    </row>
    <row r="7" spans="1:7" x14ac:dyDescent="0.2">
      <c r="A7" t="s">
        <v>224</v>
      </c>
      <c r="B7">
        <v>654</v>
      </c>
      <c r="C7" t="s">
        <v>232</v>
      </c>
      <c r="D7" t="s">
        <v>236</v>
      </c>
    </row>
    <row r="8" spans="1:7" x14ac:dyDescent="0.2">
      <c r="A8" t="s">
        <v>224</v>
      </c>
      <c r="B8">
        <v>656</v>
      </c>
      <c r="C8" t="s">
        <v>232</v>
      </c>
      <c r="D8" t="s">
        <v>236</v>
      </c>
    </row>
    <row r="9" spans="1:7" x14ac:dyDescent="0.2">
      <c r="A9" t="s">
        <v>224</v>
      </c>
      <c r="B9">
        <v>656</v>
      </c>
      <c r="C9" t="s">
        <v>232</v>
      </c>
      <c r="D9" t="s">
        <v>236</v>
      </c>
    </row>
    <row r="10" spans="1:7" x14ac:dyDescent="0.2">
      <c r="A10" t="s">
        <v>224</v>
      </c>
      <c r="B10">
        <v>656</v>
      </c>
      <c r="C10" t="s">
        <v>232</v>
      </c>
      <c r="D10" t="s">
        <v>236</v>
      </c>
    </row>
    <row r="11" spans="1:7" x14ac:dyDescent="0.2">
      <c r="A11" t="s">
        <v>224</v>
      </c>
      <c r="B11">
        <v>656</v>
      </c>
      <c r="C11" t="s">
        <v>232</v>
      </c>
      <c r="D11" t="s">
        <v>236</v>
      </c>
    </row>
    <row r="12" spans="1:7" x14ac:dyDescent="0.2">
      <c r="A12" t="s">
        <v>224</v>
      </c>
      <c r="B12">
        <v>656</v>
      </c>
      <c r="C12" t="s">
        <v>232</v>
      </c>
      <c r="D12" t="s">
        <v>236</v>
      </c>
    </row>
    <row r="13" spans="1:7" x14ac:dyDescent="0.2">
      <c r="A13" t="s">
        <v>224</v>
      </c>
      <c r="B13">
        <v>663</v>
      </c>
      <c r="C13" t="s">
        <v>232</v>
      </c>
      <c r="D13" t="s">
        <v>236</v>
      </c>
    </row>
    <row r="14" spans="1:7" x14ac:dyDescent="0.2">
      <c r="A14" t="s">
        <v>224</v>
      </c>
      <c r="B14">
        <v>663</v>
      </c>
      <c r="C14" t="s">
        <v>232</v>
      </c>
      <c r="D14" t="s">
        <v>236</v>
      </c>
    </row>
    <row r="15" spans="1:7" x14ac:dyDescent="0.2">
      <c r="A15" t="s">
        <v>224</v>
      </c>
      <c r="B15">
        <v>663</v>
      </c>
      <c r="C15" t="s">
        <v>232</v>
      </c>
      <c r="D15" t="s">
        <v>236</v>
      </c>
    </row>
    <row r="16" spans="1:7" x14ac:dyDescent="0.2">
      <c r="A16" t="s">
        <v>224</v>
      </c>
      <c r="B16">
        <v>673</v>
      </c>
      <c r="C16" t="s">
        <v>232</v>
      </c>
      <c r="D16" t="s">
        <v>236</v>
      </c>
    </row>
    <row r="17" spans="1:4" x14ac:dyDescent="0.2">
      <c r="A17" t="s">
        <v>224</v>
      </c>
      <c r="B17">
        <v>673</v>
      </c>
      <c r="C17" t="s">
        <v>232</v>
      </c>
      <c r="D17" t="s">
        <v>236</v>
      </c>
    </row>
    <row r="18" spans="1:4" x14ac:dyDescent="0.2">
      <c r="A18" t="s">
        <v>224</v>
      </c>
      <c r="B18">
        <v>673</v>
      </c>
      <c r="C18" t="s">
        <v>232</v>
      </c>
      <c r="D18" t="s">
        <v>236</v>
      </c>
    </row>
    <row r="19" spans="1:4" x14ac:dyDescent="0.2">
      <c r="A19" t="s">
        <v>224</v>
      </c>
      <c r="B19">
        <v>753</v>
      </c>
      <c r="C19" t="s">
        <v>232</v>
      </c>
      <c r="D19" t="s">
        <v>236</v>
      </c>
    </row>
    <row r="20" spans="1:4" x14ac:dyDescent="0.2">
      <c r="A20" t="s">
        <v>224</v>
      </c>
      <c r="B20">
        <v>753</v>
      </c>
      <c r="C20" t="s">
        <v>232</v>
      </c>
      <c r="D20" t="s">
        <v>236</v>
      </c>
    </row>
    <row r="21" spans="1:4" x14ac:dyDescent="0.2">
      <c r="A21" t="s">
        <v>224</v>
      </c>
      <c r="B21">
        <v>764</v>
      </c>
      <c r="C21" t="s">
        <v>232</v>
      </c>
      <c r="D21" t="s">
        <v>236</v>
      </c>
    </row>
    <row r="22" spans="1:4" x14ac:dyDescent="0.2">
      <c r="A22" t="s">
        <v>224</v>
      </c>
      <c r="B22">
        <v>764</v>
      </c>
      <c r="C22" t="s">
        <v>232</v>
      </c>
      <c r="D22" t="s">
        <v>236</v>
      </c>
    </row>
    <row r="23" spans="1:4" x14ac:dyDescent="0.2">
      <c r="A23" t="s">
        <v>224</v>
      </c>
      <c r="B23">
        <v>764</v>
      </c>
      <c r="C23" t="s">
        <v>232</v>
      </c>
      <c r="D23" t="s">
        <v>236</v>
      </c>
    </row>
    <row r="24" spans="1:4" x14ac:dyDescent="0.2">
      <c r="A24" t="s">
        <v>224</v>
      </c>
      <c r="B24">
        <v>910</v>
      </c>
      <c r="C24" t="s">
        <v>232</v>
      </c>
      <c r="D24" t="s">
        <v>236</v>
      </c>
    </row>
    <row r="25" spans="1:4" x14ac:dyDescent="0.2">
      <c r="A25" t="s">
        <v>224</v>
      </c>
      <c r="B25">
        <v>910</v>
      </c>
      <c r="C25" t="s">
        <v>232</v>
      </c>
      <c r="D25" t="s">
        <v>236</v>
      </c>
    </row>
    <row r="26" spans="1:4" x14ac:dyDescent="0.2">
      <c r="A26" t="s">
        <v>224</v>
      </c>
      <c r="B26">
        <v>910</v>
      </c>
      <c r="C26" t="s">
        <v>232</v>
      </c>
      <c r="D26" t="s">
        <v>236</v>
      </c>
    </row>
    <row r="27" spans="1:4" x14ac:dyDescent="0.2">
      <c r="A27" t="s">
        <v>224</v>
      </c>
      <c r="B27">
        <v>917</v>
      </c>
      <c r="C27" t="s">
        <v>232</v>
      </c>
      <c r="D27" t="s">
        <v>236</v>
      </c>
    </row>
    <row r="28" spans="1:4" x14ac:dyDescent="0.2">
      <c r="A28" t="s">
        <v>224</v>
      </c>
      <c r="B28">
        <v>917</v>
      </c>
      <c r="C28" t="s">
        <v>232</v>
      </c>
      <c r="D28" t="s">
        <v>236</v>
      </c>
    </row>
    <row r="29" spans="1:4" x14ac:dyDescent="0.2">
      <c r="A29" t="s">
        <v>224</v>
      </c>
      <c r="B29">
        <v>917</v>
      </c>
      <c r="C29" t="s">
        <v>232</v>
      </c>
      <c r="D29" t="s">
        <v>236</v>
      </c>
    </row>
    <row r="30" spans="1:4" x14ac:dyDescent="0.2">
      <c r="A30" t="s">
        <v>224</v>
      </c>
      <c r="B30">
        <v>652</v>
      </c>
      <c r="C30" t="s">
        <v>233</v>
      </c>
      <c r="D30" t="s">
        <v>237</v>
      </c>
    </row>
    <row r="31" spans="1:4" x14ac:dyDescent="0.2">
      <c r="A31" t="s">
        <v>224</v>
      </c>
      <c r="B31">
        <v>652</v>
      </c>
      <c r="C31" t="s">
        <v>232</v>
      </c>
      <c r="D31" t="s">
        <v>237</v>
      </c>
    </row>
    <row r="32" spans="1:4" x14ac:dyDescent="0.2">
      <c r="A32" t="s">
        <v>224</v>
      </c>
      <c r="B32">
        <v>652</v>
      </c>
      <c r="C32" t="s">
        <v>232</v>
      </c>
      <c r="D32" t="s">
        <v>237</v>
      </c>
    </row>
    <row r="33" spans="1:4" x14ac:dyDescent="0.2">
      <c r="A33" t="s">
        <v>224</v>
      </c>
      <c r="B33">
        <v>653</v>
      </c>
      <c r="C33" t="s">
        <v>232</v>
      </c>
      <c r="D33" t="s">
        <v>237</v>
      </c>
    </row>
    <row r="34" spans="1:4" x14ac:dyDescent="0.2">
      <c r="A34" t="s">
        <v>224</v>
      </c>
      <c r="B34">
        <v>653</v>
      </c>
      <c r="C34" t="s">
        <v>232</v>
      </c>
      <c r="D34" t="s">
        <v>237</v>
      </c>
    </row>
    <row r="35" spans="1:4" x14ac:dyDescent="0.2">
      <c r="A35" t="s">
        <v>224</v>
      </c>
      <c r="B35">
        <v>653</v>
      </c>
      <c r="C35" t="s">
        <v>232</v>
      </c>
      <c r="D35" t="s">
        <v>237</v>
      </c>
    </row>
    <row r="36" spans="1:4" x14ac:dyDescent="0.2">
      <c r="A36" t="s">
        <v>224</v>
      </c>
      <c r="B36">
        <v>655</v>
      </c>
      <c r="C36" t="s">
        <v>233</v>
      </c>
      <c r="D36" t="s">
        <v>237</v>
      </c>
    </row>
    <row r="37" spans="1:4" x14ac:dyDescent="0.2">
      <c r="A37" t="s">
        <v>224</v>
      </c>
      <c r="B37">
        <v>655</v>
      </c>
      <c r="C37" t="s">
        <v>233</v>
      </c>
      <c r="D37" t="s">
        <v>237</v>
      </c>
    </row>
    <row r="38" spans="1:4" x14ac:dyDescent="0.2">
      <c r="A38" t="s">
        <v>224</v>
      </c>
      <c r="B38">
        <v>655</v>
      </c>
      <c r="C38" t="s">
        <v>232</v>
      </c>
      <c r="D38" t="s">
        <v>237</v>
      </c>
    </row>
    <row r="39" spans="1:4" x14ac:dyDescent="0.2">
      <c r="A39" t="s">
        <v>224</v>
      </c>
      <c r="B39">
        <v>657</v>
      </c>
      <c r="C39" t="s">
        <v>232</v>
      </c>
      <c r="D39" t="s">
        <v>237</v>
      </c>
    </row>
    <row r="40" spans="1:4" x14ac:dyDescent="0.2">
      <c r="A40" t="s">
        <v>224</v>
      </c>
      <c r="B40">
        <v>657</v>
      </c>
      <c r="C40" t="s">
        <v>232</v>
      </c>
      <c r="D40" t="s">
        <v>237</v>
      </c>
    </row>
    <row r="41" spans="1:4" x14ac:dyDescent="0.2">
      <c r="A41" t="s">
        <v>224</v>
      </c>
      <c r="B41">
        <v>657</v>
      </c>
      <c r="C41" t="s">
        <v>232</v>
      </c>
      <c r="D41" t="s">
        <v>237</v>
      </c>
    </row>
    <row r="42" spans="1:4" x14ac:dyDescent="0.2">
      <c r="A42" t="s">
        <v>224</v>
      </c>
      <c r="B42">
        <v>658</v>
      </c>
      <c r="C42" t="s">
        <v>233</v>
      </c>
      <c r="D42" t="s">
        <v>237</v>
      </c>
    </row>
    <row r="43" spans="1:4" x14ac:dyDescent="0.2">
      <c r="A43" t="s">
        <v>224</v>
      </c>
      <c r="B43">
        <v>658</v>
      </c>
      <c r="C43" t="s">
        <v>232</v>
      </c>
      <c r="D43" t="s">
        <v>237</v>
      </c>
    </row>
    <row r="44" spans="1:4" x14ac:dyDescent="0.2">
      <c r="A44" t="s">
        <v>224</v>
      </c>
      <c r="B44">
        <v>658</v>
      </c>
      <c r="C44" t="s">
        <v>232</v>
      </c>
      <c r="D44" t="s">
        <v>237</v>
      </c>
    </row>
    <row r="45" spans="1:4" x14ac:dyDescent="0.2">
      <c r="A45" t="s">
        <v>224</v>
      </c>
      <c r="B45">
        <v>659</v>
      </c>
      <c r="C45" t="s">
        <v>232</v>
      </c>
      <c r="D45" t="s">
        <v>237</v>
      </c>
    </row>
    <row r="46" spans="1:4" x14ac:dyDescent="0.2">
      <c r="A46" t="s">
        <v>224</v>
      </c>
      <c r="B46">
        <v>659</v>
      </c>
      <c r="C46" t="s">
        <v>232</v>
      </c>
      <c r="D46" t="s">
        <v>237</v>
      </c>
    </row>
    <row r="47" spans="1:4" x14ac:dyDescent="0.2">
      <c r="A47" t="s">
        <v>224</v>
      </c>
      <c r="B47">
        <v>659</v>
      </c>
      <c r="C47" t="s">
        <v>232</v>
      </c>
      <c r="D47" t="s">
        <v>237</v>
      </c>
    </row>
    <row r="48" spans="1:4" x14ac:dyDescent="0.2">
      <c r="A48" t="s">
        <v>224</v>
      </c>
      <c r="B48">
        <v>662</v>
      </c>
      <c r="C48" t="s">
        <v>232</v>
      </c>
      <c r="D48" t="s">
        <v>237</v>
      </c>
    </row>
    <row r="49" spans="1:4" x14ac:dyDescent="0.2">
      <c r="A49" t="s">
        <v>224</v>
      </c>
      <c r="B49">
        <v>662</v>
      </c>
      <c r="C49" t="s">
        <v>232</v>
      </c>
      <c r="D49" t="s">
        <v>237</v>
      </c>
    </row>
    <row r="50" spans="1:4" x14ac:dyDescent="0.2">
      <c r="A50" t="s">
        <v>224</v>
      </c>
      <c r="B50">
        <v>664</v>
      </c>
      <c r="C50" t="s">
        <v>232</v>
      </c>
      <c r="D50" t="s">
        <v>237</v>
      </c>
    </row>
    <row r="51" spans="1:4" x14ac:dyDescent="0.2">
      <c r="A51" t="s">
        <v>224</v>
      </c>
      <c r="B51">
        <v>664</v>
      </c>
      <c r="C51" t="s">
        <v>232</v>
      </c>
      <c r="D51" t="s">
        <v>237</v>
      </c>
    </row>
    <row r="52" spans="1:4" x14ac:dyDescent="0.2">
      <c r="A52" t="s">
        <v>224</v>
      </c>
      <c r="B52">
        <v>665</v>
      </c>
      <c r="C52" t="s">
        <v>232</v>
      </c>
      <c r="D52" t="s">
        <v>237</v>
      </c>
    </row>
    <row r="53" spans="1:4" x14ac:dyDescent="0.2">
      <c r="A53" t="s">
        <v>224</v>
      </c>
      <c r="B53">
        <v>665</v>
      </c>
      <c r="C53" t="s">
        <v>232</v>
      </c>
      <c r="D53" t="s">
        <v>237</v>
      </c>
    </row>
    <row r="54" spans="1:4" x14ac:dyDescent="0.2">
      <c r="A54" t="s">
        <v>224</v>
      </c>
      <c r="B54">
        <v>665</v>
      </c>
      <c r="C54" t="s">
        <v>232</v>
      </c>
      <c r="D54" t="s">
        <v>237</v>
      </c>
    </row>
    <row r="55" spans="1:4" x14ac:dyDescent="0.2">
      <c r="A55" t="s">
        <v>224</v>
      </c>
      <c r="B55">
        <v>666</v>
      </c>
      <c r="C55" t="s">
        <v>233</v>
      </c>
      <c r="D55" t="s">
        <v>237</v>
      </c>
    </row>
    <row r="56" spans="1:4" x14ac:dyDescent="0.2">
      <c r="A56" t="s">
        <v>224</v>
      </c>
      <c r="B56">
        <v>666</v>
      </c>
      <c r="C56" t="s">
        <v>233</v>
      </c>
      <c r="D56" t="s">
        <v>237</v>
      </c>
    </row>
    <row r="57" spans="1:4" x14ac:dyDescent="0.2">
      <c r="A57" t="s">
        <v>224</v>
      </c>
      <c r="B57">
        <v>666</v>
      </c>
      <c r="C57" t="s">
        <v>233</v>
      </c>
      <c r="D57" t="s">
        <v>237</v>
      </c>
    </row>
    <row r="58" spans="1:4" x14ac:dyDescent="0.2">
      <c r="A58" t="s">
        <v>224</v>
      </c>
      <c r="B58">
        <v>667</v>
      </c>
      <c r="C58" t="s">
        <v>232</v>
      </c>
      <c r="D58" t="s">
        <v>237</v>
      </c>
    </row>
    <row r="59" spans="1:4" x14ac:dyDescent="0.2">
      <c r="A59" t="s">
        <v>224</v>
      </c>
      <c r="B59">
        <v>667</v>
      </c>
      <c r="C59" t="s">
        <v>232</v>
      </c>
      <c r="D59" t="s">
        <v>237</v>
      </c>
    </row>
    <row r="60" spans="1:4" x14ac:dyDescent="0.2">
      <c r="A60" t="s">
        <v>224</v>
      </c>
      <c r="B60">
        <v>667</v>
      </c>
      <c r="C60" t="s">
        <v>232</v>
      </c>
      <c r="D60" t="s">
        <v>237</v>
      </c>
    </row>
    <row r="61" spans="1:4" x14ac:dyDescent="0.2">
      <c r="A61" t="s">
        <v>224</v>
      </c>
      <c r="B61">
        <v>668</v>
      </c>
      <c r="C61" t="s">
        <v>233</v>
      </c>
      <c r="D61" t="s">
        <v>237</v>
      </c>
    </row>
    <row r="62" spans="1:4" x14ac:dyDescent="0.2">
      <c r="A62" t="s">
        <v>224</v>
      </c>
      <c r="B62">
        <v>668</v>
      </c>
      <c r="C62" t="s">
        <v>233</v>
      </c>
      <c r="D62" t="s">
        <v>237</v>
      </c>
    </row>
    <row r="63" spans="1:4" x14ac:dyDescent="0.2">
      <c r="A63" t="s">
        <v>224</v>
      </c>
      <c r="B63">
        <v>668</v>
      </c>
      <c r="C63" t="s">
        <v>233</v>
      </c>
      <c r="D63" t="s">
        <v>237</v>
      </c>
    </row>
    <row r="64" spans="1:4" x14ac:dyDescent="0.2">
      <c r="A64" t="s">
        <v>224</v>
      </c>
      <c r="B64">
        <v>668</v>
      </c>
      <c r="C64" t="s">
        <v>232</v>
      </c>
      <c r="D64" t="s">
        <v>237</v>
      </c>
    </row>
    <row r="65" spans="1:4" x14ac:dyDescent="0.2">
      <c r="A65" t="s">
        <v>224</v>
      </c>
      <c r="B65">
        <v>668</v>
      </c>
      <c r="C65" t="s">
        <v>232</v>
      </c>
      <c r="D65" t="s">
        <v>237</v>
      </c>
    </row>
    <row r="66" spans="1:4" x14ac:dyDescent="0.2">
      <c r="A66" t="s">
        <v>224</v>
      </c>
      <c r="B66">
        <v>669</v>
      </c>
      <c r="C66" t="s">
        <v>233</v>
      </c>
      <c r="D66" t="s">
        <v>237</v>
      </c>
    </row>
    <row r="67" spans="1:4" x14ac:dyDescent="0.2">
      <c r="A67" t="s">
        <v>224</v>
      </c>
      <c r="B67">
        <v>669</v>
      </c>
      <c r="C67" t="s">
        <v>233</v>
      </c>
      <c r="D67" t="s">
        <v>237</v>
      </c>
    </row>
    <row r="68" spans="1:4" x14ac:dyDescent="0.2">
      <c r="A68" t="s">
        <v>224</v>
      </c>
      <c r="B68">
        <v>669</v>
      </c>
      <c r="C68" t="s">
        <v>233</v>
      </c>
      <c r="D68" t="s">
        <v>237</v>
      </c>
    </row>
    <row r="69" spans="1:4" x14ac:dyDescent="0.2">
      <c r="A69" t="s">
        <v>224</v>
      </c>
      <c r="B69">
        <v>670</v>
      </c>
      <c r="C69" t="s">
        <v>232</v>
      </c>
      <c r="D69" t="s">
        <v>237</v>
      </c>
    </row>
    <row r="70" spans="1:4" x14ac:dyDescent="0.2">
      <c r="A70" t="s">
        <v>224</v>
      </c>
      <c r="B70">
        <v>670</v>
      </c>
      <c r="C70" t="s">
        <v>232</v>
      </c>
      <c r="D70" t="s">
        <v>237</v>
      </c>
    </row>
    <row r="71" spans="1:4" x14ac:dyDescent="0.2">
      <c r="A71" t="s">
        <v>224</v>
      </c>
      <c r="B71">
        <v>670</v>
      </c>
      <c r="C71" t="s">
        <v>232</v>
      </c>
      <c r="D71" t="s">
        <v>237</v>
      </c>
    </row>
    <row r="72" spans="1:4" x14ac:dyDescent="0.2">
      <c r="A72" t="s">
        <v>224</v>
      </c>
      <c r="B72">
        <v>671</v>
      </c>
      <c r="C72" t="s">
        <v>233</v>
      </c>
      <c r="D72" t="s">
        <v>237</v>
      </c>
    </row>
    <row r="73" spans="1:4" x14ac:dyDescent="0.2">
      <c r="A73" t="s">
        <v>224</v>
      </c>
      <c r="B73">
        <v>671</v>
      </c>
      <c r="C73" t="s">
        <v>233</v>
      </c>
      <c r="D73" t="s">
        <v>237</v>
      </c>
    </row>
    <row r="74" spans="1:4" x14ac:dyDescent="0.2">
      <c r="A74" t="s">
        <v>224</v>
      </c>
      <c r="B74">
        <v>671</v>
      </c>
      <c r="C74" t="s">
        <v>233</v>
      </c>
      <c r="D74" t="s">
        <v>237</v>
      </c>
    </row>
    <row r="75" spans="1:4" x14ac:dyDescent="0.2">
      <c r="A75" t="s">
        <v>224</v>
      </c>
      <c r="B75">
        <v>672</v>
      </c>
      <c r="C75" t="s">
        <v>232</v>
      </c>
      <c r="D75" t="s">
        <v>237</v>
      </c>
    </row>
    <row r="76" spans="1:4" x14ac:dyDescent="0.2">
      <c r="A76" t="s">
        <v>224</v>
      </c>
      <c r="B76">
        <v>672</v>
      </c>
      <c r="C76" t="s">
        <v>232</v>
      </c>
      <c r="D76" t="s">
        <v>237</v>
      </c>
    </row>
    <row r="77" spans="1:4" x14ac:dyDescent="0.2">
      <c r="A77" t="s">
        <v>224</v>
      </c>
      <c r="B77">
        <v>674</v>
      </c>
      <c r="C77" t="s">
        <v>232</v>
      </c>
      <c r="D77" t="s">
        <v>237</v>
      </c>
    </row>
    <row r="78" spans="1:4" x14ac:dyDescent="0.2">
      <c r="A78" t="s">
        <v>224</v>
      </c>
      <c r="B78">
        <v>674</v>
      </c>
      <c r="C78" t="s">
        <v>232</v>
      </c>
      <c r="D78" t="s">
        <v>237</v>
      </c>
    </row>
    <row r="79" spans="1:4" x14ac:dyDescent="0.2">
      <c r="A79" t="s">
        <v>224</v>
      </c>
      <c r="B79">
        <v>674</v>
      </c>
      <c r="C79" t="s">
        <v>232</v>
      </c>
      <c r="D79" t="s">
        <v>237</v>
      </c>
    </row>
    <row r="80" spans="1:4" x14ac:dyDescent="0.2">
      <c r="A80" t="s">
        <v>224</v>
      </c>
      <c r="B80">
        <v>675</v>
      </c>
      <c r="C80" t="s">
        <v>232</v>
      </c>
      <c r="D80" t="s">
        <v>237</v>
      </c>
    </row>
    <row r="81" spans="1:4" x14ac:dyDescent="0.2">
      <c r="A81" t="s">
        <v>224</v>
      </c>
      <c r="B81">
        <v>675</v>
      </c>
      <c r="C81" t="s">
        <v>232</v>
      </c>
      <c r="D81" t="s">
        <v>237</v>
      </c>
    </row>
    <row r="82" spans="1:4" x14ac:dyDescent="0.2">
      <c r="A82" t="s">
        <v>224</v>
      </c>
      <c r="B82">
        <v>675</v>
      </c>
      <c r="C82" t="s">
        <v>232</v>
      </c>
      <c r="D82" t="s">
        <v>237</v>
      </c>
    </row>
    <row r="83" spans="1:4" x14ac:dyDescent="0.2">
      <c r="A83" t="s">
        <v>224</v>
      </c>
      <c r="B83">
        <v>751</v>
      </c>
      <c r="C83" t="s">
        <v>233</v>
      </c>
      <c r="D83" t="s">
        <v>237</v>
      </c>
    </row>
    <row r="84" spans="1:4" x14ac:dyDescent="0.2">
      <c r="A84" t="s">
        <v>224</v>
      </c>
      <c r="B84">
        <v>751</v>
      </c>
      <c r="C84" t="s">
        <v>232</v>
      </c>
      <c r="D84" t="s">
        <v>237</v>
      </c>
    </row>
    <row r="85" spans="1:4" x14ac:dyDescent="0.2">
      <c r="A85" t="s">
        <v>224</v>
      </c>
      <c r="B85">
        <v>751</v>
      </c>
      <c r="C85" t="s">
        <v>232</v>
      </c>
      <c r="D85" t="s">
        <v>237</v>
      </c>
    </row>
    <row r="86" spans="1:4" x14ac:dyDescent="0.2">
      <c r="A86" t="s">
        <v>224</v>
      </c>
      <c r="B86">
        <v>756</v>
      </c>
      <c r="C86" t="s">
        <v>232</v>
      </c>
      <c r="D86" t="s">
        <v>237</v>
      </c>
    </row>
    <row r="87" spans="1:4" x14ac:dyDescent="0.2">
      <c r="A87" t="s">
        <v>224</v>
      </c>
      <c r="B87">
        <v>756</v>
      </c>
      <c r="C87" t="s">
        <v>232</v>
      </c>
      <c r="D87" t="s">
        <v>237</v>
      </c>
    </row>
    <row r="88" spans="1:4" x14ac:dyDescent="0.2">
      <c r="A88" t="s">
        <v>224</v>
      </c>
      <c r="B88">
        <v>756</v>
      </c>
      <c r="C88" t="s">
        <v>232</v>
      </c>
      <c r="D88" t="s">
        <v>237</v>
      </c>
    </row>
    <row r="89" spans="1:4" x14ac:dyDescent="0.2">
      <c r="A89" t="s">
        <v>224</v>
      </c>
      <c r="B89">
        <v>757</v>
      </c>
      <c r="C89" t="s">
        <v>232</v>
      </c>
      <c r="D89" t="s">
        <v>237</v>
      </c>
    </row>
    <row r="90" spans="1:4" x14ac:dyDescent="0.2">
      <c r="A90" t="s">
        <v>224</v>
      </c>
      <c r="B90">
        <v>757</v>
      </c>
      <c r="C90" t="s">
        <v>232</v>
      </c>
      <c r="D90" t="s">
        <v>237</v>
      </c>
    </row>
    <row r="91" spans="1:4" x14ac:dyDescent="0.2">
      <c r="A91" t="s">
        <v>224</v>
      </c>
      <c r="B91">
        <v>757</v>
      </c>
      <c r="C91" t="s">
        <v>232</v>
      </c>
      <c r="D91" t="s">
        <v>237</v>
      </c>
    </row>
    <row r="92" spans="1:4" x14ac:dyDescent="0.2">
      <c r="A92" t="s">
        <v>224</v>
      </c>
      <c r="B92">
        <v>758</v>
      </c>
      <c r="C92" t="s">
        <v>233</v>
      </c>
      <c r="D92" t="s">
        <v>237</v>
      </c>
    </row>
    <row r="93" spans="1:4" x14ac:dyDescent="0.2">
      <c r="A93" t="s">
        <v>224</v>
      </c>
      <c r="B93">
        <v>758</v>
      </c>
      <c r="C93" t="s">
        <v>233</v>
      </c>
      <c r="D93" t="s">
        <v>237</v>
      </c>
    </row>
    <row r="94" spans="1:4" x14ac:dyDescent="0.2">
      <c r="A94" t="s">
        <v>224</v>
      </c>
      <c r="B94">
        <v>758</v>
      </c>
      <c r="C94" t="s">
        <v>232</v>
      </c>
      <c r="D94" t="s">
        <v>237</v>
      </c>
    </row>
    <row r="95" spans="1:4" x14ac:dyDescent="0.2">
      <c r="A95" t="s">
        <v>224</v>
      </c>
      <c r="B95">
        <v>759</v>
      </c>
      <c r="C95" t="s">
        <v>232</v>
      </c>
      <c r="D95" t="s">
        <v>237</v>
      </c>
    </row>
    <row r="96" spans="1:4" x14ac:dyDescent="0.2">
      <c r="A96" t="s">
        <v>224</v>
      </c>
      <c r="B96">
        <v>759</v>
      </c>
      <c r="C96" t="s">
        <v>232</v>
      </c>
      <c r="D96" t="s">
        <v>237</v>
      </c>
    </row>
    <row r="97" spans="1:4" x14ac:dyDescent="0.2">
      <c r="A97" t="s">
        <v>224</v>
      </c>
      <c r="B97">
        <v>759</v>
      </c>
      <c r="C97" t="s">
        <v>232</v>
      </c>
      <c r="D97" t="s">
        <v>237</v>
      </c>
    </row>
    <row r="98" spans="1:4" x14ac:dyDescent="0.2">
      <c r="A98" t="s">
        <v>224</v>
      </c>
      <c r="B98">
        <v>760</v>
      </c>
      <c r="C98" t="s">
        <v>232</v>
      </c>
      <c r="D98" t="s">
        <v>237</v>
      </c>
    </row>
    <row r="99" spans="1:4" x14ac:dyDescent="0.2">
      <c r="A99" t="s">
        <v>224</v>
      </c>
      <c r="B99">
        <v>760</v>
      </c>
      <c r="C99" t="s">
        <v>232</v>
      </c>
      <c r="D99" t="s">
        <v>237</v>
      </c>
    </row>
    <row r="100" spans="1:4" x14ac:dyDescent="0.2">
      <c r="A100" t="s">
        <v>224</v>
      </c>
      <c r="B100">
        <v>760</v>
      </c>
      <c r="C100" t="s">
        <v>232</v>
      </c>
      <c r="D100" t="s">
        <v>237</v>
      </c>
    </row>
    <row r="101" spans="1:4" x14ac:dyDescent="0.2">
      <c r="A101" t="s">
        <v>224</v>
      </c>
      <c r="B101">
        <v>761</v>
      </c>
      <c r="C101" t="s">
        <v>232</v>
      </c>
      <c r="D101" t="s">
        <v>237</v>
      </c>
    </row>
    <row r="102" spans="1:4" x14ac:dyDescent="0.2">
      <c r="A102" t="s">
        <v>224</v>
      </c>
      <c r="B102">
        <v>761</v>
      </c>
      <c r="C102" t="s">
        <v>232</v>
      </c>
      <c r="D102" t="s">
        <v>237</v>
      </c>
    </row>
    <row r="103" spans="1:4" x14ac:dyDescent="0.2">
      <c r="A103" t="s">
        <v>224</v>
      </c>
      <c r="B103">
        <v>761</v>
      </c>
      <c r="C103" t="s">
        <v>232</v>
      </c>
      <c r="D103" t="s">
        <v>237</v>
      </c>
    </row>
    <row r="104" spans="1:4" x14ac:dyDescent="0.2">
      <c r="A104" t="s">
        <v>224</v>
      </c>
      <c r="B104">
        <v>762</v>
      </c>
      <c r="C104" t="s">
        <v>232</v>
      </c>
      <c r="D104" t="s">
        <v>237</v>
      </c>
    </row>
    <row r="105" spans="1:4" x14ac:dyDescent="0.2">
      <c r="A105" t="s">
        <v>224</v>
      </c>
      <c r="B105">
        <v>762</v>
      </c>
      <c r="C105" t="s">
        <v>232</v>
      </c>
      <c r="D105" t="s">
        <v>237</v>
      </c>
    </row>
    <row r="106" spans="1:4" x14ac:dyDescent="0.2">
      <c r="A106" t="s">
        <v>224</v>
      </c>
      <c r="B106">
        <v>762</v>
      </c>
      <c r="C106" t="s">
        <v>232</v>
      </c>
      <c r="D106" t="s">
        <v>237</v>
      </c>
    </row>
    <row r="107" spans="1:4" x14ac:dyDescent="0.2">
      <c r="A107" t="s">
        <v>224</v>
      </c>
      <c r="B107">
        <v>765</v>
      </c>
      <c r="C107" t="s">
        <v>233</v>
      </c>
      <c r="D107" t="s">
        <v>237</v>
      </c>
    </row>
    <row r="108" spans="1:4" x14ac:dyDescent="0.2">
      <c r="A108" t="s">
        <v>224</v>
      </c>
      <c r="B108">
        <v>765</v>
      </c>
      <c r="C108" t="s">
        <v>232</v>
      </c>
      <c r="D108" t="s">
        <v>237</v>
      </c>
    </row>
    <row r="109" spans="1:4" x14ac:dyDescent="0.2">
      <c r="A109" t="s">
        <v>224</v>
      </c>
      <c r="B109">
        <v>765</v>
      </c>
      <c r="C109" t="s">
        <v>232</v>
      </c>
      <c r="D109" t="s">
        <v>237</v>
      </c>
    </row>
    <row r="110" spans="1:4" x14ac:dyDescent="0.2">
      <c r="A110" t="s">
        <v>224</v>
      </c>
      <c r="B110">
        <v>766</v>
      </c>
      <c r="C110" t="s">
        <v>232</v>
      </c>
      <c r="D110" t="s">
        <v>237</v>
      </c>
    </row>
    <row r="111" spans="1:4" x14ac:dyDescent="0.2">
      <c r="A111" t="s">
        <v>224</v>
      </c>
      <c r="B111">
        <v>766</v>
      </c>
      <c r="C111" t="s">
        <v>232</v>
      </c>
      <c r="D111" t="s">
        <v>237</v>
      </c>
    </row>
    <row r="112" spans="1:4" x14ac:dyDescent="0.2">
      <c r="A112" t="s">
        <v>224</v>
      </c>
      <c r="B112">
        <v>766</v>
      </c>
      <c r="C112" t="s">
        <v>232</v>
      </c>
      <c r="D112" t="s">
        <v>237</v>
      </c>
    </row>
    <row r="113" spans="1:4" x14ac:dyDescent="0.2">
      <c r="A113" t="s">
        <v>224</v>
      </c>
      <c r="B113">
        <v>767</v>
      </c>
      <c r="C113" t="s">
        <v>232</v>
      </c>
      <c r="D113" t="s">
        <v>237</v>
      </c>
    </row>
    <row r="114" spans="1:4" x14ac:dyDescent="0.2">
      <c r="A114" t="s">
        <v>224</v>
      </c>
      <c r="B114">
        <v>767</v>
      </c>
      <c r="C114" t="s">
        <v>232</v>
      </c>
      <c r="D114" t="s">
        <v>237</v>
      </c>
    </row>
    <row r="115" spans="1:4" x14ac:dyDescent="0.2">
      <c r="A115" t="s">
        <v>224</v>
      </c>
      <c r="B115">
        <v>767</v>
      </c>
      <c r="C115" t="s">
        <v>232</v>
      </c>
      <c r="D115" t="s">
        <v>237</v>
      </c>
    </row>
    <row r="116" spans="1:4" x14ac:dyDescent="0.2">
      <c r="A116" t="s">
        <v>224</v>
      </c>
      <c r="B116">
        <v>768</v>
      </c>
      <c r="C116" t="s">
        <v>232</v>
      </c>
      <c r="D116" t="s">
        <v>237</v>
      </c>
    </row>
    <row r="117" spans="1:4" x14ac:dyDescent="0.2">
      <c r="A117" t="s">
        <v>224</v>
      </c>
      <c r="B117">
        <v>768</v>
      </c>
      <c r="C117" t="s">
        <v>232</v>
      </c>
      <c r="D117" t="s">
        <v>237</v>
      </c>
    </row>
    <row r="118" spans="1:4" x14ac:dyDescent="0.2">
      <c r="A118" t="s">
        <v>224</v>
      </c>
      <c r="B118">
        <v>768</v>
      </c>
      <c r="C118" t="s">
        <v>232</v>
      </c>
      <c r="D118" t="s">
        <v>237</v>
      </c>
    </row>
    <row r="119" spans="1:4" x14ac:dyDescent="0.2">
      <c r="A119" t="s">
        <v>224</v>
      </c>
      <c r="B119">
        <v>768</v>
      </c>
      <c r="C119" t="s">
        <v>232</v>
      </c>
      <c r="D119" t="s">
        <v>237</v>
      </c>
    </row>
    <row r="120" spans="1:4" x14ac:dyDescent="0.2">
      <c r="A120" t="s">
        <v>224</v>
      </c>
      <c r="B120">
        <v>768</v>
      </c>
      <c r="C120" t="s">
        <v>232</v>
      </c>
      <c r="D120" t="s">
        <v>237</v>
      </c>
    </row>
    <row r="121" spans="1:4" x14ac:dyDescent="0.2">
      <c r="A121" t="s">
        <v>224</v>
      </c>
      <c r="B121">
        <v>769</v>
      </c>
      <c r="C121" t="s">
        <v>232</v>
      </c>
      <c r="D121" t="s">
        <v>237</v>
      </c>
    </row>
    <row r="122" spans="1:4" x14ac:dyDescent="0.2">
      <c r="A122" t="s">
        <v>224</v>
      </c>
      <c r="B122">
        <v>769</v>
      </c>
      <c r="C122" t="s">
        <v>232</v>
      </c>
      <c r="D122" t="s">
        <v>237</v>
      </c>
    </row>
    <row r="123" spans="1:4" x14ac:dyDescent="0.2">
      <c r="A123" t="s">
        <v>224</v>
      </c>
      <c r="B123">
        <v>769</v>
      </c>
      <c r="C123" t="s">
        <v>232</v>
      </c>
      <c r="D123" t="s">
        <v>237</v>
      </c>
    </row>
    <row r="124" spans="1:4" x14ac:dyDescent="0.2">
      <c r="A124" t="s">
        <v>224</v>
      </c>
      <c r="B124">
        <v>770</v>
      </c>
      <c r="C124" t="s">
        <v>232</v>
      </c>
      <c r="D124" t="s">
        <v>237</v>
      </c>
    </row>
    <row r="125" spans="1:4" x14ac:dyDescent="0.2">
      <c r="A125" t="s">
        <v>224</v>
      </c>
      <c r="B125">
        <v>770</v>
      </c>
      <c r="C125" t="s">
        <v>232</v>
      </c>
      <c r="D125" t="s">
        <v>237</v>
      </c>
    </row>
    <row r="126" spans="1:4" x14ac:dyDescent="0.2">
      <c r="A126" t="s">
        <v>224</v>
      </c>
      <c r="B126">
        <v>770</v>
      </c>
      <c r="C126" t="s">
        <v>232</v>
      </c>
      <c r="D126" t="s">
        <v>237</v>
      </c>
    </row>
    <row r="127" spans="1:4" x14ac:dyDescent="0.2">
      <c r="A127" t="s">
        <v>224</v>
      </c>
      <c r="B127">
        <v>771</v>
      </c>
      <c r="C127" t="s">
        <v>233</v>
      </c>
      <c r="D127" t="s">
        <v>237</v>
      </c>
    </row>
    <row r="128" spans="1:4" x14ac:dyDescent="0.2">
      <c r="A128" t="s">
        <v>224</v>
      </c>
      <c r="B128">
        <v>771</v>
      </c>
      <c r="C128" t="s">
        <v>232</v>
      </c>
      <c r="D128" t="s">
        <v>237</v>
      </c>
    </row>
    <row r="129" spans="1:4" x14ac:dyDescent="0.2">
      <c r="A129" t="s">
        <v>224</v>
      </c>
      <c r="B129">
        <v>771</v>
      </c>
      <c r="C129" t="s">
        <v>232</v>
      </c>
      <c r="D129" t="s">
        <v>237</v>
      </c>
    </row>
    <row r="130" spans="1:4" x14ac:dyDescent="0.2">
      <c r="A130" t="s">
        <v>224</v>
      </c>
      <c r="B130">
        <v>772</v>
      </c>
      <c r="C130" t="s">
        <v>232</v>
      </c>
      <c r="D130" t="s">
        <v>237</v>
      </c>
    </row>
    <row r="131" spans="1:4" x14ac:dyDescent="0.2">
      <c r="A131" t="s">
        <v>224</v>
      </c>
      <c r="B131">
        <v>772</v>
      </c>
      <c r="C131" t="s">
        <v>232</v>
      </c>
      <c r="D131" t="s">
        <v>237</v>
      </c>
    </row>
    <row r="132" spans="1:4" x14ac:dyDescent="0.2">
      <c r="A132" t="s">
        <v>224</v>
      </c>
      <c r="B132">
        <v>772</v>
      </c>
      <c r="C132" t="s">
        <v>232</v>
      </c>
      <c r="D132" t="s">
        <v>237</v>
      </c>
    </row>
    <row r="133" spans="1:4" x14ac:dyDescent="0.2">
      <c r="A133" t="s">
        <v>224</v>
      </c>
      <c r="B133">
        <v>773</v>
      </c>
      <c r="C133" t="s">
        <v>232</v>
      </c>
      <c r="D133" t="s">
        <v>237</v>
      </c>
    </row>
    <row r="134" spans="1:4" x14ac:dyDescent="0.2">
      <c r="A134" t="s">
        <v>224</v>
      </c>
      <c r="B134">
        <v>773</v>
      </c>
      <c r="C134" t="s">
        <v>232</v>
      </c>
      <c r="D134" t="s">
        <v>237</v>
      </c>
    </row>
    <row r="135" spans="1:4" x14ac:dyDescent="0.2">
      <c r="A135" t="s">
        <v>224</v>
      </c>
      <c r="B135">
        <v>773</v>
      </c>
      <c r="C135" t="s">
        <v>232</v>
      </c>
      <c r="D135" t="s">
        <v>237</v>
      </c>
    </row>
    <row r="136" spans="1:4" x14ac:dyDescent="0.2">
      <c r="A136" t="s">
        <v>224</v>
      </c>
      <c r="B136">
        <v>774</v>
      </c>
      <c r="C136" t="s">
        <v>232</v>
      </c>
      <c r="D136" t="s">
        <v>237</v>
      </c>
    </row>
    <row r="137" spans="1:4" x14ac:dyDescent="0.2">
      <c r="A137" t="s">
        <v>224</v>
      </c>
      <c r="B137">
        <v>774</v>
      </c>
      <c r="C137" t="s">
        <v>232</v>
      </c>
      <c r="D137" t="s">
        <v>237</v>
      </c>
    </row>
    <row r="138" spans="1:4" x14ac:dyDescent="0.2">
      <c r="A138" t="s">
        <v>224</v>
      </c>
      <c r="B138">
        <v>774</v>
      </c>
      <c r="C138" t="s">
        <v>232</v>
      </c>
      <c r="D138" t="s">
        <v>237</v>
      </c>
    </row>
    <row r="139" spans="1:4" x14ac:dyDescent="0.2">
      <c r="A139" t="s">
        <v>224</v>
      </c>
      <c r="B139">
        <v>775</v>
      </c>
      <c r="C139" t="s">
        <v>233</v>
      </c>
      <c r="D139" t="s">
        <v>237</v>
      </c>
    </row>
    <row r="140" spans="1:4" x14ac:dyDescent="0.2">
      <c r="A140" t="s">
        <v>224</v>
      </c>
      <c r="B140">
        <v>775</v>
      </c>
      <c r="C140" t="s">
        <v>233</v>
      </c>
      <c r="D140" t="s">
        <v>237</v>
      </c>
    </row>
    <row r="141" spans="1:4" x14ac:dyDescent="0.2">
      <c r="A141" t="s">
        <v>224</v>
      </c>
      <c r="B141">
        <v>775</v>
      </c>
      <c r="C141" t="s">
        <v>233</v>
      </c>
      <c r="D141" t="s">
        <v>237</v>
      </c>
    </row>
    <row r="142" spans="1:4" x14ac:dyDescent="0.2">
      <c r="A142" t="s">
        <v>224</v>
      </c>
      <c r="B142">
        <v>909</v>
      </c>
      <c r="C142" t="s">
        <v>232</v>
      </c>
      <c r="D142" t="s">
        <v>237</v>
      </c>
    </row>
    <row r="143" spans="1:4" x14ac:dyDescent="0.2">
      <c r="A143" t="s">
        <v>224</v>
      </c>
      <c r="B143">
        <v>909</v>
      </c>
      <c r="C143" t="s">
        <v>232</v>
      </c>
      <c r="D143" t="s">
        <v>237</v>
      </c>
    </row>
    <row r="144" spans="1:4" x14ac:dyDescent="0.2">
      <c r="A144" t="s">
        <v>224</v>
      </c>
      <c r="B144">
        <v>909</v>
      </c>
      <c r="C144" t="s">
        <v>232</v>
      </c>
      <c r="D144" t="s">
        <v>237</v>
      </c>
    </row>
    <row r="145" spans="1:4" x14ac:dyDescent="0.2">
      <c r="A145" t="s">
        <v>224</v>
      </c>
      <c r="B145">
        <v>911</v>
      </c>
      <c r="C145" t="s">
        <v>232</v>
      </c>
      <c r="D145" t="s">
        <v>237</v>
      </c>
    </row>
    <row r="146" spans="1:4" x14ac:dyDescent="0.2">
      <c r="A146" t="s">
        <v>224</v>
      </c>
      <c r="B146">
        <v>911</v>
      </c>
      <c r="C146" t="s">
        <v>232</v>
      </c>
      <c r="D146" t="s">
        <v>237</v>
      </c>
    </row>
    <row r="147" spans="1:4" x14ac:dyDescent="0.2">
      <c r="A147" t="s">
        <v>224</v>
      </c>
      <c r="B147">
        <v>911</v>
      </c>
      <c r="C147" t="s">
        <v>232</v>
      </c>
      <c r="D147" t="s">
        <v>237</v>
      </c>
    </row>
    <row r="148" spans="1:4" x14ac:dyDescent="0.2">
      <c r="A148" t="s">
        <v>224</v>
      </c>
      <c r="B148">
        <v>912</v>
      </c>
      <c r="C148" t="s">
        <v>232</v>
      </c>
      <c r="D148" t="s">
        <v>237</v>
      </c>
    </row>
    <row r="149" spans="1:4" x14ac:dyDescent="0.2">
      <c r="A149" t="s">
        <v>224</v>
      </c>
      <c r="B149">
        <v>912</v>
      </c>
      <c r="C149" t="s">
        <v>232</v>
      </c>
      <c r="D149" t="s">
        <v>237</v>
      </c>
    </row>
    <row r="150" spans="1:4" x14ac:dyDescent="0.2">
      <c r="A150" t="s">
        <v>224</v>
      </c>
      <c r="B150">
        <v>912</v>
      </c>
      <c r="C150" t="s">
        <v>232</v>
      </c>
      <c r="D150" t="s">
        <v>237</v>
      </c>
    </row>
    <row r="151" spans="1:4" x14ac:dyDescent="0.2">
      <c r="A151" t="s">
        <v>224</v>
      </c>
      <c r="B151">
        <v>913</v>
      </c>
      <c r="C151" t="s">
        <v>232</v>
      </c>
      <c r="D151" t="s">
        <v>237</v>
      </c>
    </row>
    <row r="152" spans="1:4" x14ac:dyDescent="0.2">
      <c r="A152" t="s">
        <v>224</v>
      </c>
      <c r="B152">
        <v>913</v>
      </c>
      <c r="C152" t="s">
        <v>232</v>
      </c>
      <c r="D152" t="s">
        <v>237</v>
      </c>
    </row>
    <row r="153" spans="1:4" x14ac:dyDescent="0.2">
      <c r="A153" t="s">
        <v>224</v>
      </c>
      <c r="B153">
        <v>913</v>
      </c>
      <c r="C153" t="s">
        <v>232</v>
      </c>
      <c r="D153" t="s">
        <v>237</v>
      </c>
    </row>
    <row r="154" spans="1:4" x14ac:dyDescent="0.2">
      <c r="A154" t="s">
        <v>224</v>
      </c>
      <c r="B154">
        <v>914</v>
      </c>
      <c r="C154" t="s">
        <v>233</v>
      </c>
      <c r="D154" t="s">
        <v>237</v>
      </c>
    </row>
    <row r="155" spans="1:4" x14ac:dyDescent="0.2">
      <c r="A155" t="s">
        <v>224</v>
      </c>
      <c r="B155">
        <v>914</v>
      </c>
      <c r="C155" t="s">
        <v>232</v>
      </c>
      <c r="D155" t="s">
        <v>237</v>
      </c>
    </row>
    <row r="156" spans="1:4" x14ac:dyDescent="0.2">
      <c r="A156" t="s">
        <v>224</v>
      </c>
      <c r="B156">
        <v>914</v>
      </c>
      <c r="C156" t="s">
        <v>232</v>
      </c>
      <c r="D156" t="s">
        <v>237</v>
      </c>
    </row>
    <row r="157" spans="1:4" x14ac:dyDescent="0.2">
      <c r="A157" t="s">
        <v>224</v>
      </c>
      <c r="B157">
        <v>915</v>
      </c>
      <c r="C157" t="s">
        <v>232</v>
      </c>
      <c r="D157" t="s">
        <v>237</v>
      </c>
    </row>
    <row r="158" spans="1:4" x14ac:dyDescent="0.2">
      <c r="A158" t="s">
        <v>224</v>
      </c>
      <c r="B158">
        <v>915</v>
      </c>
      <c r="C158" t="s">
        <v>232</v>
      </c>
      <c r="D158" t="s">
        <v>237</v>
      </c>
    </row>
    <row r="159" spans="1:4" x14ac:dyDescent="0.2">
      <c r="A159" t="s">
        <v>224</v>
      </c>
      <c r="B159">
        <v>915</v>
      </c>
      <c r="C159" t="s">
        <v>232</v>
      </c>
      <c r="D159" t="s">
        <v>237</v>
      </c>
    </row>
    <row r="160" spans="1:4" x14ac:dyDescent="0.2">
      <c r="A160" t="s">
        <v>224</v>
      </c>
      <c r="B160">
        <v>916</v>
      </c>
      <c r="C160" t="s">
        <v>232</v>
      </c>
      <c r="D160" t="s">
        <v>237</v>
      </c>
    </row>
    <row r="161" spans="1:4" x14ac:dyDescent="0.2">
      <c r="A161" t="s">
        <v>224</v>
      </c>
      <c r="B161">
        <v>916</v>
      </c>
      <c r="C161" t="s">
        <v>232</v>
      </c>
      <c r="D161" t="s">
        <v>237</v>
      </c>
    </row>
    <row r="162" spans="1:4" x14ac:dyDescent="0.2">
      <c r="A162" t="s">
        <v>224</v>
      </c>
      <c r="B162">
        <v>916</v>
      </c>
      <c r="C162" t="s">
        <v>232</v>
      </c>
      <c r="D162" t="s">
        <v>237</v>
      </c>
    </row>
    <row r="163" spans="1:4" x14ac:dyDescent="0.2">
      <c r="A163" t="s">
        <v>224</v>
      </c>
      <c r="B163">
        <v>918</v>
      </c>
      <c r="C163" t="s">
        <v>232</v>
      </c>
      <c r="D163" t="s">
        <v>237</v>
      </c>
    </row>
    <row r="164" spans="1:4" x14ac:dyDescent="0.2">
      <c r="A164" t="s">
        <v>224</v>
      </c>
      <c r="B164">
        <v>918</v>
      </c>
      <c r="C164" t="s">
        <v>232</v>
      </c>
      <c r="D164" t="s">
        <v>237</v>
      </c>
    </row>
    <row r="165" spans="1:4" x14ac:dyDescent="0.2">
      <c r="A165" t="s">
        <v>224</v>
      </c>
      <c r="B165">
        <v>918</v>
      </c>
      <c r="C165" t="s">
        <v>232</v>
      </c>
      <c r="D165" t="s">
        <v>237</v>
      </c>
    </row>
    <row r="166" spans="1:4" x14ac:dyDescent="0.2">
      <c r="A166" t="s">
        <v>224</v>
      </c>
      <c r="B166">
        <v>660</v>
      </c>
      <c r="C166" t="s">
        <v>232</v>
      </c>
      <c r="D166" t="s">
        <v>238</v>
      </c>
    </row>
    <row r="167" spans="1:4" x14ac:dyDescent="0.2">
      <c r="A167" t="s">
        <v>224</v>
      </c>
      <c r="B167">
        <v>660</v>
      </c>
      <c r="C167" t="s">
        <v>232</v>
      </c>
      <c r="D167" t="s">
        <v>238</v>
      </c>
    </row>
    <row r="168" spans="1:4" x14ac:dyDescent="0.2">
      <c r="A168" t="s">
        <v>224</v>
      </c>
      <c r="B168">
        <v>660</v>
      </c>
      <c r="C168" t="s">
        <v>232</v>
      </c>
      <c r="D168" t="s">
        <v>238</v>
      </c>
    </row>
    <row r="169" spans="1:4" x14ac:dyDescent="0.2">
      <c r="A169" t="s">
        <v>224</v>
      </c>
      <c r="B169">
        <v>661</v>
      </c>
      <c r="C169" t="s">
        <v>232</v>
      </c>
      <c r="D169" t="s">
        <v>238</v>
      </c>
    </row>
    <row r="170" spans="1:4" x14ac:dyDescent="0.2">
      <c r="A170" t="s">
        <v>224</v>
      </c>
      <c r="B170">
        <v>661</v>
      </c>
      <c r="C170" t="s">
        <v>232</v>
      </c>
      <c r="D170" t="s">
        <v>238</v>
      </c>
    </row>
    <row r="171" spans="1:4" x14ac:dyDescent="0.2">
      <c r="A171" t="s">
        <v>224</v>
      </c>
      <c r="B171">
        <v>661</v>
      </c>
      <c r="C171" t="s">
        <v>232</v>
      </c>
      <c r="D171" t="s">
        <v>238</v>
      </c>
    </row>
    <row r="172" spans="1:4" x14ac:dyDescent="0.2">
      <c r="A172" t="s">
        <v>224</v>
      </c>
      <c r="B172">
        <v>752</v>
      </c>
      <c r="C172" t="s">
        <v>232</v>
      </c>
      <c r="D172" t="s">
        <v>238</v>
      </c>
    </row>
    <row r="173" spans="1:4" x14ac:dyDescent="0.2">
      <c r="A173" t="s">
        <v>224</v>
      </c>
      <c r="B173">
        <v>752</v>
      </c>
      <c r="C173" t="s">
        <v>232</v>
      </c>
      <c r="D173" t="s">
        <v>238</v>
      </c>
    </row>
    <row r="174" spans="1:4" x14ac:dyDescent="0.2">
      <c r="A174" t="s">
        <v>224</v>
      </c>
      <c r="B174">
        <v>752</v>
      </c>
      <c r="C174" t="s">
        <v>232</v>
      </c>
      <c r="D174" t="s">
        <v>238</v>
      </c>
    </row>
    <row r="175" spans="1:4" x14ac:dyDescent="0.2">
      <c r="A175" t="s">
        <v>224</v>
      </c>
      <c r="B175">
        <v>754</v>
      </c>
      <c r="C175" t="s">
        <v>232</v>
      </c>
      <c r="D175" t="s">
        <v>238</v>
      </c>
    </row>
    <row r="176" spans="1:4" x14ac:dyDescent="0.2">
      <c r="A176" t="s">
        <v>224</v>
      </c>
      <c r="B176">
        <v>754</v>
      </c>
      <c r="C176" t="s">
        <v>232</v>
      </c>
      <c r="D176" t="s">
        <v>238</v>
      </c>
    </row>
    <row r="177" spans="1:4" x14ac:dyDescent="0.2">
      <c r="A177" t="s">
        <v>224</v>
      </c>
      <c r="B177">
        <v>754</v>
      </c>
      <c r="C177" t="s">
        <v>232</v>
      </c>
      <c r="D177" t="s">
        <v>238</v>
      </c>
    </row>
    <row r="178" spans="1:4" x14ac:dyDescent="0.2">
      <c r="A178" t="s">
        <v>224</v>
      </c>
      <c r="B178">
        <v>755</v>
      </c>
      <c r="C178" t="s">
        <v>232</v>
      </c>
      <c r="D178" t="s">
        <v>238</v>
      </c>
    </row>
    <row r="179" spans="1:4" x14ac:dyDescent="0.2">
      <c r="A179" t="s">
        <v>224</v>
      </c>
      <c r="B179">
        <v>755</v>
      </c>
      <c r="C179" t="s">
        <v>232</v>
      </c>
      <c r="D179" t="s">
        <v>238</v>
      </c>
    </row>
    <row r="180" spans="1:4" x14ac:dyDescent="0.2">
      <c r="A180" t="s">
        <v>224</v>
      </c>
      <c r="B180">
        <v>755</v>
      </c>
      <c r="C180" t="s">
        <v>232</v>
      </c>
      <c r="D180" t="s">
        <v>238</v>
      </c>
    </row>
    <row r="181" spans="1:4" x14ac:dyDescent="0.2">
      <c r="A181" t="s">
        <v>224</v>
      </c>
      <c r="B181">
        <v>763</v>
      </c>
      <c r="C181" t="s">
        <v>232</v>
      </c>
      <c r="D181" t="s">
        <v>238</v>
      </c>
    </row>
    <row r="182" spans="1:4" x14ac:dyDescent="0.2">
      <c r="A182" t="s">
        <v>224</v>
      </c>
      <c r="B182">
        <v>763</v>
      </c>
      <c r="C182" t="s">
        <v>232</v>
      </c>
      <c r="D182" t="s">
        <v>238</v>
      </c>
    </row>
    <row r="183" spans="1:4" x14ac:dyDescent="0.2">
      <c r="A183" t="s">
        <v>224</v>
      </c>
      <c r="B183">
        <v>763</v>
      </c>
      <c r="C183" t="s">
        <v>232</v>
      </c>
      <c r="D183" t="s">
        <v>238</v>
      </c>
    </row>
  </sheetData>
  <sortState xmlns:xlrd2="http://schemas.microsoft.com/office/spreadsheetml/2017/richdata2" ref="A2:D248">
    <sortCondition ref="D2:D24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812E-7FB9-B042-AE6B-317FFEEB06D4}">
  <dimension ref="A1:F243"/>
  <sheetViews>
    <sheetView workbookViewId="0">
      <selection activeCell="B197" sqref="B197"/>
    </sheetView>
  </sheetViews>
  <sheetFormatPr baseColWidth="10" defaultRowHeight="16" x14ac:dyDescent="0.2"/>
  <cols>
    <col min="2" max="2" width="20.6640625" customWidth="1"/>
    <col min="4" max="4" width="25.6640625" bestFit="1" customWidth="1"/>
    <col min="5" max="5" width="29.33203125" bestFit="1" customWidth="1"/>
  </cols>
  <sheetData>
    <row r="1" spans="1:6" x14ac:dyDescent="0.2">
      <c r="A1" t="s">
        <v>223</v>
      </c>
      <c r="B1" t="s">
        <v>178</v>
      </c>
      <c r="D1" t="s">
        <v>227</v>
      </c>
      <c r="E1" t="s">
        <v>230</v>
      </c>
      <c r="F1" t="s">
        <v>231</v>
      </c>
    </row>
    <row r="2" spans="1:6" x14ac:dyDescent="0.2">
      <c r="A2">
        <v>580</v>
      </c>
      <c r="B2">
        <v>7</v>
      </c>
      <c r="C2">
        <f>AVERAGE(B2:B4)</f>
        <v>7.666666666666667</v>
      </c>
      <c r="D2" t="s">
        <v>228</v>
      </c>
      <c r="E2" t="s">
        <v>229</v>
      </c>
      <c r="F2" t="s">
        <v>229</v>
      </c>
    </row>
    <row r="3" spans="1:6" x14ac:dyDescent="0.2">
      <c r="A3">
        <v>580</v>
      </c>
      <c r="B3">
        <v>8</v>
      </c>
    </row>
    <row r="4" spans="1:6" x14ac:dyDescent="0.2">
      <c r="A4">
        <v>580</v>
      </c>
      <c r="B4">
        <v>8</v>
      </c>
    </row>
    <row r="5" spans="1:6" x14ac:dyDescent="0.2">
      <c r="A5">
        <v>580</v>
      </c>
      <c r="B5" t="s">
        <v>179</v>
      </c>
    </row>
    <row r="6" spans="1:6" x14ac:dyDescent="0.2">
      <c r="A6">
        <v>652</v>
      </c>
      <c r="B6">
        <v>9</v>
      </c>
      <c r="C6">
        <v>10</v>
      </c>
      <c r="D6" t="s">
        <v>228</v>
      </c>
      <c r="E6" t="s">
        <v>229</v>
      </c>
      <c r="F6" t="s">
        <v>229</v>
      </c>
    </row>
    <row r="7" spans="1:6" x14ac:dyDescent="0.2">
      <c r="A7">
        <v>652</v>
      </c>
      <c r="B7">
        <v>11</v>
      </c>
    </row>
    <row r="8" spans="1:6" x14ac:dyDescent="0.2">
      <c r="A8">
        <v>652</v>
      </c>
      <c r="B8" t="s">
        <v>179</v>
      </c>
    </row>
    <row r="9" spans="1:6" x14ac:dyDescent="0.2">
      <c r="A9">
        <v>652</v>
      </c>
      <c r="B9" t="s">
        <v>179</v>
      </c>
    </row>
    <row r="10" spans="1:6" x14ac:dyDescent="0.2">
      <c r="A10">
        <v>653</v>
      </c>
      <c r="B10">
        <v>11</v>
      </c>
      <c r="C10">
        <v>11</v>
      </c>
      <c r="D10" t="s">
        <v>229</v>
      </c>
      <c r="E10" t="s">
        <v>229</v>
      </c>
      <c r="F10" t="s">
        <v>229</v>
      </c>
    </row>
    <row r="11" spans="1:6" x14ac:dyDescent="0.2">
      <c r="A11">
        <v>653</v>
      </c>
      <c r="B11">
        <v>11</v>
      </c>
    </row>
    <row r="12" spans="1:6" x14ac:dyDescent="0.2">
      <c r="A12">
        <v>653</v>
      </c>
      <c r="B12">
        <v>11</v>
      </c>
    </row>
    <row r="13" spans="1:6" x14ac:dyDescent="0.2">
      <c r="A13">
        <v>653</v>
      </c>
      <c r="B13" t="s">
        <v>179</v>
      </c>
    </row>
    <row r="14" spans="1:6" x14ac:dyDescent="0.2">
      <c r="A14">
        <v>654</v>
      </c>
      <c r="B14">
        <v>9</v>
      </c>
      <c r="C14">
        <v>9</v>
      </c>
      <c r="D14" t="s">
        <v>229</v>
      </c>
      <c r="E14" t="s">
        <v>229</v>
      </c>
      <c r="F14" t="s">
        <v>229</v>
      </c>
    </row>
    <row r="15" spans="1:6" x14ac:dyDescent="0.2">
      <c r="A15">
        <v>654</v>
      </c>
      <c r="B15">
        <v>9</v>
      </c>
    </row>
    <row r="16" spans="1:6" x14ac:dyDescent="0.2">
      <c r="A16">
        <v>654</v>
      </c>
      <c r="B16">
        <v>9</v>
      </c>
    </row>
    <row r="17" spans="1:6" x14ac:dyDescent="0.2">
      <c r="A17">
        <v>654</v>
      </c>
      <c r="B17" t="s">
        <v>179</v>
      </c>
    </row>
    <row r="18" spans="1:6" x14ac:dyDescent="0.2">
      <c r="A18">
        <v>655</v>
      </c>
      <c r="B18">
        <v>12</v>
      </c>
      <c r="C18">
        <v>12</v>
      </c>
      <c r="D18" t="s">
        <v>229</v>
      </c>
      <c r="E18" t="s">
        <v>229</v>
      </c>
      <c r="F18" t="s">
        <v>229</v>
      </c>
    </row>
    <row r="19" spans="1:6" x14ac:dyDescent="0.2">
      <c r="A19">
        <v>655</v>
      </c>
      <c r="B19" t="s">
        <v>179</v>
      </c>
    </row>
    <row r="20" spans="1:6" x14ac:dyDescent="0.2">
      <c r="A20">
        <v>655</v>
      </c>
      <c r="B20" t="s">
        <v>179</v>
      </c>
    </row>
    <row r="21" spans="1:6" x14ac:dyDescent="0.2">
      <c r="A21">
        <v>655</v>
      </c>
      <c r="B21" t="s">
        <v>179</v>
      </c>
    </row>
    <row r="22" spans="1:6" x14ac:dyDescent="0.2">
      <c r="A22">
        <v>656</v>
      </c>
      <c r="B22">
        <v>8</v>
      </c>
      <c r="C22">
        <f>AVERAGE(B22:B26)</f>
        <v>8.8000000000000007</v>
      </c>
      <c r="D22" t="s">
        <v>228</v>
      </c>
      <c r="E22" t="s">
        <v>229</v>
      </c>
      <c r="F22" t="s">
        <v>229</v>
      </c>
    </row>
    <row r="23" spans="1:6" x14ac:dyDescent="0.2">
      <c r="A23">
        <v>656</v>
      </c>
      <c r="B23">
        <v>9</v>
      </c>
    </row>
    <row r="24" spans="1:6" x14ac:dyDescent="0.2">
      <c r="A24">
        <v>656</v>
      </c>
      <c r="B24">
        <v>9</v>
      </c>
    </row>
    <row r="25" spans="1:6" x14ac:dyDescent="0.2">
      <c r="A25">
        <v>656</v>
      </c>
      <c r="B25">
        <v>9</v>
      </c>
    </row>
    <row r="26" spans="1:6" x14ac:dyDescent="0.2">
      <c r="A26">
        <v>656</v>
      </c>
      <c r="B26">
        <v>9</v>
      </c>
    </row>
    <row r="27" spans="1:6" x14ac:dyDescent="0.2">
      <c r="A27">
        <v>656</v>
      </c>
      <c r="B27" t="s">
        <v>179</v>
      </c>
    </row>
    <row r="28" spans="1:6" x14ac:dyDescent="0.2">
      <c r="A28">
        <v>657</v>
      </c>
      <c r="B28">
        <v>6</v>
      </c>
      <c r="C28">
        <f>AVERAGE(B28:B30)</f>
        <v>7.666666666666667</v>
      </c>
      <c r="D28" t="s">
        <v>228</v>
      </c>
      <c r="E28" t="s">
        <v>228</v>
      </c>
      <c r="F28" t="s">
        <v>229</v>
      </c>
    </row>
    <row r="29" spans="1:6" x14ac:dyDescent="0.2">
      <c r="A29">
        <v>657</v>
      </c>
      <c r="B29">
        <v>8</v>
      </c>
    </row>
    <row r="30" spans="1:6" x14ac:dyDescent="0.2">
      <c r="A30">
        <v>657</v>
      </c>
      <c r="B30">
        <v>9</v>
      </c>
    </row>
    <row r="31" spans="1:6" x14ac:dyDescent="0.2">
      <c r="A31">
        <v>657</v>
      </c>
      <c r="B31" t="s">
        <v>179</v>
      </c>
    </row>
    <row r="32" spans="1:6" x14ac:dyDescent="0.2">
      <c r="A32">
        <v>658</v>
      </c>
      <c r="B32">
        <v>8</v>
      </c>
      <c r="C32">
        <v>9</v>
      </c>
      <c r="D32" t="s">
        <v>228</v>
      </c>
      <c r="E32" t="s">
        <v>228</v>
      </c>
      <c r="F32" t="s">
        <v>229</v>
      </c>
    </row>
    <row r="33" spans="1:6" x14ac:dyDescent="0.2">
      <c r="A33">
        <v>658</v>
      </c>
      <c r="B33">
        <v>10</v>
      </c>
    </row>
    <row r="34" spans="1:6" x14ac:dyDescent="0.2">
      <c r="A34">
        <v>658</v>
      </c>
      <c r="B34" t="s">
        <v>179</v>
      </c>
    </row>
    <row r="35" spans="1:6" x14ac:dyDescent="0.2">
      <c r="A35">
        <v>658</v>
      </c>
      <c r="B35" t="s">
        <v>179</v>
      </c>
    </row>
    <row r="36" spans="1:6" x14ac:dyDescent="0.2">
      <c r="A36">
        <v>659</v>
      </c>
      <c r="B36">
        <v>10</v>
      </c>
      <c r="C36">
        <f>AVERAGE(B36:B38)</f>
        <v>11.666666666666666</v>
      </c>
      <c r="D36" t="s">
        <v>228</v>
      </c>
      <c r="E36" t="s">
        <v>228</v>
      </c>
      <c r="F36" t="s">
        <v>228</v>
      </c>
    </row>
    <row r="37" spans="1:6" x14ac:dyDescent="0.2">
      <c r="A37">
        <v>659</v>
      </c>
      <c r="B37">
        <v>11</v>
      </c>
    </row>
    <row r="38" spans="1:6" x14ac:dyDescent="0.2">
      <c r="A38">
        <v>659</v>
      </c>
      <c r="B38">
        <v>14</v>
      </c>
    </row>
    <row r="39" spans="1:6" x14ac:dyDescent="0.2">
      <c r="A39">
        <v>659</v>
      </c>
      <c r="B39" t="s">
        <v>179</v>
      </c>
    </row>
    <row r="40" spans="1:6" x14ac:dyDescent="0.2">
      <c r="A40">
        <v>660</v>
      </c>
      <c r="B40">
        <v>7</v>
      </c>
      <c r="C40">
        <f>AVERAGE(B40:B42)</f>
        <v>8.3333333333333339</v>
      </c>
      <c r="D40" t="s">
        <v>228</v>
      </c>
      <c r="E40" t="s">
        <v>228</v>
      </c>
      <c r="F40" t="s">
        <v>229</v>
      </c>
    </row>
    <row r="41" spans="1:6" x14ac:dyDescent="0.2">
      <c r="A41">
        <v>660</v>
      </c>
      <c r="B41">
        <v>9</v>
      </c>
    </row>
    <row r="42" spans="1:6" x14ac:dyDescent="0.2">
      <c r="A42">
        <v>660</v>
      </c>
      <c r="B42">
        <v>9</v>
      </c>
    </row>
    <row r="43" spans="1:6" x14ac:dyDescent="0.2">
      <c r="A43">
        <v>660</v>
      </c>
      <c r="B43" t="s">
        <v>179</v>
      </c>
    </row>
    <row r="44" spans="1:6" x14ac:dyDescent="0.2">
      <c r="A44">
        <v>661</v>
      </c>
      <c r="B44">
        <v>7</v>
      </c>
      <c r="C44">
        <f>AVERAGE(B44:B46)</f>
        <v>9</v>
      </c>
      <c r="D44" t="s">
        <v>228</v>
      </c>
      <c r="E44" t="s">
        <v>228</v>
      </c>
      <c r="F44" t="s">
        <v>228</v>
      </c>
    </row>
    <row r="45" spans="1:6" x14ac:dyDescent="0.2">
      <c r="A45">
        <v>661</v>
      </c>
      <c r="B45">
        <v>10</v>
      </c>
    </row>
    <row r="46" spans="1:6" x14ac:dyDescent="0.2">
      <c r="A46">
        <v>661</v>
      </c>
      <c r="B46">
        <v>10</v>
      </c>
    </row>
    <row r="47" spans="1:6" x14ac:dyDescent="0.2">
      <c r="A47">
        <v>661</v>
      </c>
      <c r="B47" t="s">
        <v>179</v>
      </c>
    </row>
    <row r="48" spans="1:6" x14ac:dyDescent="0.2">
      <c r="A48">
        <v>662</v>
      </c>
      <c r="B48">
        <v>9</v>
      </c>
      <c r="C48">
        <v>10</v>
      </c>
      <c r="D48" t="s">
        <v>228</v>
      </c>
      <c r="E48" t="s">
        <v>228</v>
      </c>
      <c r="F48" t="s">
        <v>229</v>
      </c>
    </row>
    <row r="49" spans="1:6" x14ac:dyDescent="0.2">
      <c r="A49">
        <v>662</v>
      </c>
      <c r="B49">
        <v>11</v>
      </c>
    </row>
    <row r="50" spans="1:6" x14ac:dyDescent="0.2">
      <c r="A50">
        <v>662</v>
      </c>
      <c r="B50" t="s">
        <v>179</v>
      </c>
    </row>
    <row r="51" spans="1:6" x14ac:dyDescent="0.2">
      <c r="A51">
        <v>663</v>
      </c>
      <c r="B51">
        <v>9</v>
      </c>
      <c r="C51">
        <v>9</v>
      </c>
      <c r="D51" t="s">
        <v>229</v>
      </c>
      <c r="E51" t="s">
        <v>229</v>
      </c>
      <c r="F51" t="s">
        <v>229</v>
      </c>
    </row>
    <row r="52" spans="1:6" x14ac:dyDescent="0.2">
      <c r="A52">
        <v>663</v>
      </c>
      <c r="B52">
        <v>9</v>
      </c>
    </row>
    <row r="53" spans="1:6" x14ac:dyDescent="0.2">
      <c r="A53">
        <v>663</v>
      </c>
      <c r="B53">
        <v>9</v>
      </c>
    </row>
    <row r="54" spans="1:6" x14ac:dyDescent="0.2">
      <c r="A54">
        <v>663</v>
      </c>
      <c r="B54" t="s">
        <v>179</v>
      </c>
    </row>
    <row r="55" spans="1:6" x14ac:dyDescent="0.2">
      <c r="A55">
        <v>664</v>
      </c>
      <c r="B55">
        <v>7</v>
      </c>
      <c r="C55">
        <v>7</v>
      </c>
      <c r="D55" t="s">
        <v>229</v>
      </c>
      <c r="E55" t="s">
        <v>229</v>
      </c>
      <c r="F55" t="s">
        <v>229</v>
      </c>
    </row>
    <row r="56" spans="1:6" x14ac:dyDescent="0.2">
      <c r="A56">
        <v>664</v>
      </c>
      <c r="B56">
        <v>7</v>
      </c>
    </row>
    <row r="57" spans="1:6" x14ac:dyDescent="0.2">
      <c r="A57">
        <v>664</v>
      </c>
      <c r="B57" t="s">
        <v>179</v>
      </c>
    </row>
    <row r="58" spans="1:6" x14ac:dyDescent="0.2">
      <c r="A58">
        <v>665</v>
      </c>
      <c r="B58">
        <v>4</v>
      </c>
      <c r="C58">
        <f>AVERAGE(B58:B60)</f>
        <v>5.333333333333333</v>
      </c>
      <c r="D58" t="s">
        <v>228</v>
      </c>
      <c r="E58" t="s">
        <v>228</v>
      </c>
      <c r="F58" t="s">
        <v>229</v>
      </c>
    </row>
    <row r="59" spans="1:6" x14ac:dyDescent="0.2">
      <c r="A59">
        <v>665</v>
      </c>
      <c r="B59">
        <v>6</v>
      </c>
    </row>
    <row r="60" spans="1:6" x14ac:dyDescent="0.2">
      <c r="A60">
        <v>665</v>
      </c>
      <c r="B60">
        <v>6</v>
      </c>
    </row>
    <row r="61" spans="1:6" x14ac:dyDescent="0.2">
      <c r="A61">
        <v>665</v>
      </c>
      <c r="B61" t="s">
        <v>179</v>
      </c>
    </row>
    <row r="62" spans="1:6" x14ac:dyDescent="0.2">
      <c r="A62">
        <v>666</v>
      </c>
      <c r="B62" t="s">
        <v>179</v>
      </c>
    </row>
    <row r="63" spans="1:6" x14ac:dyDescent="0.2">
      <c r="A63">
        <v>666</v>
      </c>
      <c r="B63" t="s">
        <v>179</v>
      </c>
    </row>
    <row r="64" spans="1:6" x14ac:dyDescent="0.2">
      <c r="A64">
        <v>666</v>
      </c>
      <c r="B64" t="s">
        <v>179</v>
      </c>
    </row>
    <row r="65" spans="1:6" x14ac:dyDescent="0.2">
      <c r="A65">
        <v>666</v>
      </c>
      <c r="B65" t="s">
        <v>179</v>
      </c>
    </row>
    <row r="66" spans="1:6" x14ac:dyDescent="0.2">
      <c r="A66">
        <v>667</v>
      </c>
      <c r="B66">
        <v>11</v>
      </c>
      <c r="C66">
        <f>AVERAGE(B66:B68)</f>
        <v>11.333333333333334</v>
      </c>
      <c r="D66" t="s">
        <v>228</v>
      </c>
      <c r="E66" t="s">
        <v>229</v>
      </c>
      <c r="F66" t="s">
        <v>229</v>
      </c>
    </row>
    <row r="67" spans="1:6" x14ac:dyDescent="0.2">
      <c r="A67">
        <v>667</v>
      </c>
      <c r="B67">
        <v>11</v>
      </c>
    </row>
    <row r="68" spans="1:6" x14ac:dyDescent="0.2">
      <c r="A68">
        <v>667</v>
      </c>
      <c r="B68">
        <v>12</v>
      </c>
    </row>
    <row r="69" spans="1:6" x14ac:dyDescent="0.2">
      <c r="A69">
        <v>667</v>
      </c>
      <c r="B69" t="s">
        <v>179</v>
      </c>
    </row>
    <row r="70" spans="1:6" x14ac:dyDescent="0.2">
      <c r="A70">
        <v>668</v>
      </c>
      <c r="B70">
        <v>6</v>
      </c>
      <c r="C70">
        <v>6</v>
      </c>
      <c r="D70" t="s">
        <v>229</v>
      </c>
      <c r="E70" t="s">
        <v>229</v>
      </c>
      <c r="F70" t="s">
        <v>229</v>
      </c>
    </row>
    <row r="71" spans="1:6" x14ac:dyDescent="0.2">
      <c r="A71">
        <v>668</v>
      </c>
      <c r="B71">
        <v>6</v>
      </c>
    </row>
    <row r="72" spans="1:6" x14ac:dyDescent="0.2">
      <c r="A72">
        <v>668</v>
      </c>
      <c r="B72" t="s">
        <v>179</v>
      </c>
    </row>
    <row r="73" spans="1:6" x14ac:dyDescent="0.2">
      <c r="A73">
        <v>668</v>
      </c>
      <c r="B73" t="s">
        <v>179</v>
      </c>
    </row>
    <row r="74" spans="1:6" x14ac:dyDescent="0.2">
      <c r="A74">
        <v>668</v>
      </c>
      <c r="B74" t="s">
        <v>179</v>
      </c>
    </row>
    <row r="75" spans="1:6" x14ac:dyDescent="0.2">
      <c r="A75">
        <v>668</v>
      </c>
      <c r="B75" t="s">
        <v>179</v>
      </c>
    </row>
    <row r="76" spans="1:6" x14ac:dyDescent="0.2">
      <c r="A76">
        <v>669</v>
      </c>
      <c r="B76" t="s">
        <v>179</v>
      </c>
    </row>
    <row r="77" spans="1:6" x14ac:dyDescent="0.2">
      <c r="A77">
        <v>669</v>
      </c>
      <c r="B77" t="s">
        <v>179</v>
      </c>
    </row>
    <row r="78" spans="1:6" x14ac:dyDescent="0.2">
      <c r="A78">
        <v>669</v>
      </c>
      <c r="B78" t="s">
        <v>179</v>
      </c>
    </row>
    <row r="79" spans="1:6" x14ac:dyDescent="0.2">
      <c r="A79">
        <v>669</v>
      </c>
      <c r="B79" t="s">
        <v>179</v>
      </c>
    </row>
    <row r="80" spans="1:6" x14ac:dyDescent="0.2">
      <c r="A80">
        <v>670</v>
      </c>
      <c r="B80">
        <v>9</v>
      </c>
      <c r="C80">
        <f>AVERAGE(B80:B82)</f>
        <v>9.6666666666666661</v>
      </c>
      <c r="D80" t="s">
        <v>228</v>
      </c>
      <c r="E80" t="s">
        <v>229</v>
      </c>
      <c r="F80" t="s">
        <v>229</v>
      </c>
    </row>
    <row r="81" spans="1:6" x14ac:dyDescent="0.2">
      <c r="A81">
        <v>670</v>
      </c>
      <c r="B81">
        <v>10</v>
      </c>
    </row>
    <row r="82" spans="1:6" x14ac:dyDescent="0.2">
      <c r="A82">
        <v>670</v>
      </c>
      <c r="B82">
        <v>10</v>
      </c>
    </row>
    <row r="83" spans="1:6" x14ac:dyDescent="0.2">
      <c r="A83">
        <v>670</v>
      </c>
      <c r="B83" t="s">
        <v>179</v>
      </c>
    </row>
    <row r="84" spans="1:6" x14ac:dyDescent="0.2">
      <c r="A84">
        <v>671</v>
      </c>
      <c r="B84" t="s">
        <v>179</v>
      </c>
    </row>
    <row r="85" spans="1:6" x14ac:dyDescent="0.2">
      <c r="A85">
        <v>671</v>
      </c>
      <c r="B85" t="s">
        <v>179</v>
      </c>
    </row>
    <row r="86" spans="1:6" x14ac:dyDescent="0.2">
      <c r="A86">
        <v>671</v>
      </c>
      <c r="B86" t="s">
        <v>179</v>
      </c>
    </row>
    <row r="87" spans="1:6" x14ac:dyDescent="0.2">
      <c r="A87">
        <v>671</v>
      </c>
      <c r="B87" t="s">
        <v>179</v>
      </c>
    </row>
    <row r="88" spans="1:6" x14ac:dyDescent="0.2">
      <c r="A88">
        <v>672</v>
      </c>
      <c r="B88">
        <v>10</v>
      </c>
      <c r="C88">
        <v>10.5</v>
      </c>
      <c r="D88" t="s">
        <v>228</v>
      </c>
      <c r="E88" t="s">
        <v>229</v>
      </c>
      <c r="F88" t="s">
        <v>229</v>
      </c>
    </row>
    <row r="89" spans="1:6" x14ac:dyDescent="0.2">
      <c r="A89">
        <v>672</v>
      </c>
      <c r="B89">
        <v>11</v>
      </c>
    </row>
    <row r="90" spans="1:6" x14ac:dyDescent="0.2">
      <c r="A90">
        <v>672</v>
      </c>
      <c r="B90" t="s">
        <v>179</v>
      </c>
    </row>
    <row r="91" spans="1:6" x14ac:dyDescent="0.2">
      <c r="A91">
        <v>673</v>
      </c>
      <c r="B91">
        <v>7</v>
      </c>
      <c r="C91">
        <f>AVERAGE(B91:B93)</f>
        <v>7.333333333333333</v>
      </c>
      <c r="D91" t="s">
        <v>228</v>
      </c>
      <c r="E91" t="s">
        <v>229</v>
      </c>
      <c r="F91" t="s">
        <v>229</v>
      </c>
    </row>
    <row r="92" spans="1:6" x14ac:dyDescent="0.2">
      <c r="A92">
        <v>673</v>
      </c>
      <c r="B92">
        <v>7</v>
      </c>
    </row>
    <row r="93" spans="1:6" x14ac:dyDescent="0.2">
      <c r="A93">
        <v>673</v>
      </c>
      <c r="B93">
        <v>8</v>
      </c>
    </row>
    <row r="94" spans="1:6" x14ac:dyDescent="0.2">
      <c r="A94">
        <v>673</v>
      </c>
      <c r="B94" t="s">
        <v>179</v>
      </c>
    </row>
    <row r="95" spans="1:6" x14ac:dyDescent="0.2">
      <c r="A95">
        <v>674</v>
      </c>
      <c r="B95">
        <v>10</v>
      </c>
      <c r="C95">
        <v>10</v>
      </c>
      <c r="D95" t="s">
        <v>229</v>
      </c>
      <c r="E95" t="s">
        <v>229</v>
      </c>
      <c r="F95" t="s">
        <v>229</v>
      </c>
    </row>
    <row r="96" spans="1:6" x14ac:dyDescent="0.2">
      <c r="A96">
        <v>674</v>
      </c>
      <c r="B96">
        <v>10</v>
      </c>
    </row>
    <row r="97" spans="1:6" x14ac:dyDescent="0.2">
      <c r="A97">
        <v>674</v>
      </c>
      <c r="B97">
        <v>10</v>
      </c>
    </row>
    <row r="98" spans="1:6" x14ac:dyDescent="0.2">
      <c r="A98">
        <v>674</v>
      </c>
      <c r="B98" t="s">
        <v>179</v>
      </c>
    </row>
    <row r="99" spans="1:6" x14ac:dyDescent="0.2">
      <c r="A99">
        <v>675</v>
      </c>
      <c r="B99">
        <v>7</v>
      </c>
      <c r="C99">
        <f>AVERAGE(B99:B101)</f>
        <v>7.333333333333333</v>
      </c>
      <c r="D99" t="s">
        <v>228</v>
      </c>
      <c r="E99" t="s">
        <v>229</v>
      </c>
      <c r="F99" t="s">
        <v>229</v>
      </c>
    </row>
    <row r="100" spans="1:6" x14ac:dyDescent="0.2">
      <c r="A100">
        <v>675</v>
      </c>
      <c r="B100">
        <v>7</v>
      </c>
    </row>
    <row r="101" spans="1:6" x14ac:dyDescent="0.2">
      <c r="A101">
        <v>675</v>
      </c>
      <c r="B101">
        <v>8</v>
      </c>
    </row>
    <row r="102" spans="1:6" x14ac:dyDescent="0.2">
      <c r="A102">
        <v>675</v>
      </c>
      <c r="B102" t="s">
        <v>179</v>
      </c>
    </row>
    <row r="103" spans="1:6" x14ac:dyDescent="0.2">
      <c r="A103">
        <v>751</v>
      </c>
      <c r="B103">
        <v>11</v>
      </c>
      <c r="C103">
        <v>11.5</v>
      </c>
      <c r="D103" t="s">
        <v>228</v>
      </c>
      <c r="E103" t="s">
        <v>229</v>
      </c>
      <c r="F103" t="s">
        <v>229</v>
      </c>
    </row>
    <row r="104" spans="1:6" x14ac:dyDescent="0.2">
      <c r="A104">
        <v>751</v>
      </c>
      <c r="B104">
        <v>12</v>
      </c>
    </row>
    <row r="105" spans="1:6" x14ac:dyDescent="0.2">
      <c r="A105">
        <v>751</v>
      </c>
      <c r="B105" t="s">
        <v>179</v>
      </c>
    </row>
    <row r="106" spans="1:6" x14ac:dyDescent="0.2">
      <c r="A106">
        <v>751</v>
      </c>
      <c r="B106" t="s">
        <v>179</v>
      </c>
    </row>
    <row r="107" spans="1:6" x14ac:dyDescent="0.2">
      <c r="A107">
        <v>752</v>
      </c>
      <c r="B107">
        <v>6</v>
      </c>
      <c r="C107">
        <f>AVERAGE(B107:B109)</f>
        <v>7.333333333333333</v>
      </c>
      <c r="D107" t="s">
        <v>228</v>
      </c>
      <c r="E107" t="s">
        <v>228</v>
      </c>
      <c r="F107" t="s">
        <v>229</v>
      </c>
    </row>
    <row r="108" spans="1:6" x14ac:dyDescent="0.2">
      <c r="A108">
        <v>752</v>
      </c>
      <c r="B108">
        <v>8</v>
      </c>
    </row>
    <row r="109" spans="1:6" x14ac:dyDescent="0.2">
      <c r="A109">
        <v>752</v>
      </c>
      <c r="B109">
        <v>8</v>
      </c>
    </row>
    <row r="110" spans="1:6" x14ac:dyDescent="0.2">
      <c r="A110">
        <v>752</v>
      </c>
      <c r="B110" t="s">
        <v>179</v>
      </c>
    </row>
    <row r="111" spans="1:6" x14ac:dyDescent="0.2">
      <c r="A111">
        <v>753</v>
      </c>
      <c r="B111">
        <v>8</v>
      </c>
      <c r="C111">
        <v>8.5</v>
      </c>
      <c r="D111" t="s">
        <v>228</v>
      </c>
      <c r="E111" t="s">
        <v>229</v>
      </c>
      <c r="F111" t="s">
        <v>229</v>
      </c>
    </row>
    <row r="112" spans="1:6" x14ac:dyDescent="0.2">
      <c r="A112">
        <v>753</v>
      </c>
      <c r="B112">
        <v>9</v>
      </c>
    </row>
    <row r="113" spans="1:6" x14ac:dyDescent="0.2">
      <c r="A113">
        <v>753</v>
      </c>
      <c r="B113" t="s">
        <v>179</v>
      </c>
    </row>
    <row r="114" spans="1:6" x14ac:dyDescent="0.2">
      <c r="A114">
        <v>754</v>
      </c>
      <c r="B114">
        <v>8</v>
      </c>
      <c r="C114">
        <f>AVERAGE(B114:B116)</f>
        <v>8.6666666666666661</v>
      </c>
      <c r="D114" t="s">
        <v>228</v>
      </c>
      <c r="E114" t="s">
        <v>229</v>
      </c>
      <c r="F114" t="s">
        <v>229</v>
      </c>
    </row>
    <row r="115" spans="1:6" x14ac:dyDescent="0.2">
      <c r="A115">
        <v>754</v>
      </c>
      <c r="B115">
        <v>9</v>
      </c>
    </row>
    <row r="116" spans="1:6" x14ac:dyDescent="0.2">
      <c r="A116">
        <v>754</v>
      </c>
      <c r="B116">
        <v>9</v>
      </c>
    </row>
    <row r="117" spans="1:6" x14ac:dyDescent="0.2">
      <c r="A117">
        <v>754</v>
      </c>
      <c r="B117" t="s">
        <v>179</v>
      </c>
    </row>
    <row r="118" spans="1:6" x14ac:dyDescent="0.2">
      <c r="A118">
        <v>755</v>
      </c>
      <c r="B118">
        <v>8</v>
      </c>
      <c r="C118">
        <f>AVERAGE(B118:B120)</f>
        <v>8.6666666666666661</v>
      </c>
      <c r="D118" t="s">
        <v>228</v>
      </c>
      <c r="E118" t="s">
        <v>229</v>
      </c>
      <c r="F118" t="s">
        <v>229</v>
      </c>
    </row>
    <row r="119" spans="1:6" x14ac:dyDescent="0.2">
      <c r="A119">
        <v>755</v>
      </c>
      <c r="B119">
        <v>9</v>
      </c>
    </row>
    <row r="120" spans="1:6" x14ac:dyDescent="0.2">
      <c r="A120">
        <v>755</v>
      </c>
      <c r="B120">
        <v>9</v>
      </c>
    </row>
    <row r="121" spans="1:6" x14ac:dyDescent="0.2">
      <c r="A121">
        <v>755</v>
      </c>
      <c r="B121" t="s">
        <v>179</v>
      </c>
    </row>
    <row r="122" spans="1:6" x14ac:dyDescent="0.2">
      <c r="A122">
        <v>756</v>
      </c>
      <c r="B122">
        <v>10</v>
      </c>
      <c r="C122">
        <v>11</v>
      </c>
      <c r="D122" t="s">
        <v>228</v>
      </c>
      <c r="E122" t="s">
        <v>228</v>
      </c>
      <c r="F122" t="s">
        <v>229</v>
      </c>
    </row>
    <row r="123" spans="1:6" x14ac:dyDescent="0.2">
      <c r="A123">
        <v>756</v>
      </c>
      <c r="B123">
        <v>11</v>
      </c>
    </row>
    <row r="124" spans="1:6" x14ac:dyDescent="0.2">
      <c r="A124">
        <v>756</v>
      </c>
      <c r="B124">
        <v>12</v>
      </c>
    </row>
    <row r="125" spans="1:6" x14ac:dyDescent="0.2">
      <c r="A125">
        <v>756</v>
      </c>
      <c r="B125" t="s">
        <v>179</v>
      </c>
    </row>
    <row r="126" spans="1:6" x14ac:dyDescent="0.2">
      <c r="A126">
        <v>757</v>
      </c>
      <c r="B126">
        <v>6</v>
      </c>
      <c r="C126">
        <v>7</v>
      </c>
      <c r="D126" t="s">
        <v>228</v>
      </c>
      <c r="E126" t="s">
        <v>228</v>
      </c>
      <c r="F126" t="s">
        <v>229</v>
      </c>
    </row>
    <row r="127" spans="1:6" x14ac:dyDescent="0.2">
      <c r="A127">
        <v>757</v>
      </c>
      <c r="B127">
        <v>7</v>
      </c>
    </row>
    <row r="128" spans="1:6" x14ac:dyDescent="0.2">
      <c r="A128">
        <v>757</v>
      </c>
      <c r="B128">
        <v>8</v>
      </c>
    </row>
    <row r="129" spans="1:6" x14ac:dyDescent="0.2">
      <c r="A129">
        <v>757</v>
      </c>
      <c r="B129" t="s">
        <v>179</v>
      </c>
    </row>
    <row r="130" spans="1:6" x14ac:dyDescent="0.2">
      <c r="A130">
        <v>758</v>
      </c>
      <c r="B130">
        <v>8</v>
      </c>
      <c r="C130">
        <v>8</v>
      </c>
      <c r="D130" t="s">
        <v>229</v>
      </c>
      <c r="E130" t="s">
        <v>229</v>
      </c>
      <c r="F130" t="s">
        <v>229</v>
      </c>
    </row>
    <row r="131" spans="1:6" x14ac:dyDescent="0.2">
      <c r="A131">
        <v>758</v>
      </c>
      <c r="B131" t="s">
        <v>179</v>
      </c>
    </row>
    <row r="132" spans="1:6" x14ac:dyDescent="0.2">
      <c r="A132">
        <v>758</v>
      </c>
      <c r="B132" t="s">
        <v>179</v>
      </c>
    </row>
    <row r="133" spans="1:6" x14ac:dyDescent="0.2">
      <c r="A133">
        <v>758</v>
      </c>
      <c r="B133" t="s">
        <v>179</v>
      </c>
    </row>
    <row r="134" spans="1:6" x14ac:dyDescent="0.2">
      <c r="A134">
        <v>759</v>
      </c>
      <c r="B134">
        <v>7</v>
      </c>
      <c r="C134">
        <f>AVERAGE(B134:B136)</f>
        <v>9.3333333333333339</v>
      </c>
      <c r="D134" t="s">
        <v>228</v>
      </c>
      <c r="E134" t="s">
        <v>228</v>
      </c>
      <c r="F134" t="s">
        <v>228</v>
      </c>
    </row>
    <row r="135" spans="1:6" x14ac:dyDescent="0.2">
      <c r="A135">
        <v>759</v>
      </c>
      <c r="B135">
        <v>10</v>
      </c>
    </row>
    <row r="136" spans="1:6" x14ac:dyDescent="0.2">
      <c r="A136">
        <v>759</v>
      </c>
      <c r="B136">
        <v>11</v>
      </c>
    </row>
    <row r="137" spans="1:6" x14ac:dyDescent="0.2">
      <c r="A137">
        <v>759</v>
      </c>
      <c r="B137" t="s">
        <v>179</v>
      </c>
    </row>
    <row r="138" spans="1:6" x14ac:dyDescent="0.2">
      <c r="A138">
        <v>760</v>
      </c>
      <c r="B138">
        <v>7</v>
      </c>
      <c r="C138">
        <f>AVERAGE(B138:B140)</f>
        <v>9.3333333333333339</v>
      </c>
      <c r="D138" t="s">
        <v>228</v>
      </c>
      <c r="E138" t="s">
        <v>228</v>
      </c>
      <c r="F138" t="s">
        <v>228</v>
      </c>
    </row>
    <row r="139" spans="1:6" x14ac:dyDescent="0.2">
      <c r="A139">
        <v>760</v>
      </c>
      <c r="B139">
        <v>10</v>
      </c>
    </row>
    <row r="140" spans="1:6" x14ac:dyDescent="0.2">
      <c r="A140">
        <v>760</v>
      </c>
      <c r="B140">
        <v>11</v>
      </c>
    </row>
    <row r="141" spans="1:6" x14ac:dyDescent="0.2">
      <c r="A141">
        <v>760</v>
      </c>
      <c r="B141" t="s">
        <v>179</v>
      </c>
    </row>
    <row r="142" spans="1:6" x14ac:dyDescent="0.2">
      <c r="A142">
        <v>761</v>
      </c>
      <c r="B142">
        <v>11</v>
      </c>
      <c r="C142">
        <f>AVERAGE(B142:B144)</f>
        <v>12.666666666666666</v>
      </c>
      <c r="D142" t="s">
        <v>228</v>
      </c>
      <c r="E142" t="s">
        <v>228</v>
      </c>
      <c r="F142" t="s">
        <v>228</v>
      </c>
    </row>
    <row r="143" spans="1:6" x14ac:dyDescent="0.2">
      <c r="A143">
        <v>761</v>
      </c>
      <c r="B143">
        <v>13</v>
      </c>
    </row>
    <row r="144" spans="1:6" x14ac:dyDescent="0.2">
      <c r="A144">
        <v>761</v>
      </c>
      <c r="B144">
        <v>14</v>
      </c>
    </row>
    <row r="145" spans="1:6" x14ac:dyDescent="0.2">
      <c r="A145">
        <v>761</v>
      </c>
      <c r="B145" t="s">
        <v>179</v>
      </c>
    </row>
    <row r="146" spans="1:6" x14ac:dyDescent="0.2">
      <c r="A146">
        <v>762</v>
      </c>
      <c r="B146">
        <v>7</v>
      </c>
      <c r="C146">
        <f>AVERAGE(B146:B148)</f>
        <v>9</v>
      </c>
      <c r="D146" t="s">
        <v>228</v>
      </c>
      <c r="E146" t="s">
        <v>228</v>
      </c>
      <c r="F146" t="s">
        <v>228</v>
      </c>
    </row>
    <row r="147" spans="1:6" x14ac:dyDescent="0.2">
      <c r="A147">
        <v>762</v>
      </c>
      <c r="B147">
        <v>9</v>
      </c>
    </row>
    <row r="148" spans="1:6" x14ac:dyDescent="0.2">
      <c r="A148">
        <v>762</v>
      </c>
      <c r="B148">
        <v>11</v>
      </c>
    </row>
    <row r="149" spans="1:6" x14ac:dyDescent="0.2">
      <c r="A149">
        <v>762</v>
      </c>
      <c r="B149" t="s">
        <v>179</v>
      </c>
    </row>
    <row r="150" spans="1:6" x14ac:dyDescent="0.2">
      <c r="A150">
        <v>763</v>
      </c>
      <c r="B150">
        <v>9</v>
      </c>
      <c r="C150">
        <f>AVERAGE(B150:B152)</f>
        <v>9.6666666666666661</v>
      </c>
      <c r="D150" t="s">
        <v>228</v>
      </c>
      <c r="E150" t="s">
        <v>229</v>
      </c>
      <c r="F150" t="s">
        <v>229</v>
      </c>
    </row>
    <row r="151" spans="1:6" x14ac:dyDescent="0.2">
      <c r="A151">
        <v>763</v>
      </c>
      <c r="B151">
        <v>10</v>
      </c>
    </row>
    <row r="152" spans="1:6" x14ac:dyDescent="0.2">
      <c r="A152">
        <v>763</v>
      </c>
      <c r="B152">
        <v>10</v>
      </c>
    </row>
    <row r="153" spans="1:6" x14ac:dyDescent="0.2">
      <c r="A153">
        <v>763</v>
      </c>
      <c r="B153" t="s">
        <v>179</v>
      </c>
    </row>
    <row r="154" spans="1:6" x14ac:dyDescent="0.2">
      <c r="A154">
        <v>764</v>
      </c>
      <c r="B154">
        <v>8</v>
      </c>
      <c r="C154">
        <f>AVERAGE(B154:B156)</f>
        <v>8.6666666666666661</v>
      </c>
      <c r="D154" t="s">
        <v>228</v>
      </c>
      <c r="E154" t="s">
        <v>229</v>
      </c>
      <c r="F154" t="s">
        <v>229</v>
      </c>
    </row>
    <row r="155" spans="1:6" x14ac:dyDescent="0.2">
      <c r="A155">
        <v>764</v>
      </c>
      <c r="B155">
        <v>9</v>
      </c>
    </row>
    <row r="156" spans="1:6" x14ac:dyDescent="0.2">
      <c r="A156">
        <v>764</v>
      </c>
      <c r="B156">
        <v>9</v>
      </c>
    </row>
    <row r="157" spans="1:6" x14ac:dyDescent="0.2">
      <c r="A157">
        <v>764</v>
      </c>
      <c r="B157" t="s">
        <v>179</v>
      </c>
    </row>
    <row r="158" spans="1:6" x14ac:dyDescent="0.2">
      <c r="A158">
        <v>765</v>
      </c>
      <c r="B158">
        <v>8</v>
      </c>
      <c r="C158">
        <f>AVERAGE(B158:B159)</f>
        <v>10.5</v>
      </c>
      <c r="D158" t="s">
        <v>228</v>
      </c>
      <c r="E158" t="s">
        <v>228</v>
      </c>
      <c r="F158" t="s">
        <v>228</v>
      </c>
    </row>
    <row r="159" spans="1:6" x14ac:dyDescent="0.2">
      <c r="A159">
        <v>765</v>
      </c>
      <c r="B159">
        <v>13</v>
      </c>
    </row>
    <row r="160" spans="1:6" x14ac:dyDescent="0.2">
      <c r="A160">
        <v>765</v>
      </c>
      <c r="B160" t="s">
        <v>179</v>
      </c>
    </row>
    <row r="161" spans="1:6" x14ac:dyDescent="0.2">
      <c r="A161">
        <v>765</v>
      </c>
      <c r="B161" t="s">
        <v>179</v>
      </c>
    </row>
    <row r="162" spans="1:6" x14ac:dyDescent="0.2">
      <c r="A162">
        <v>766</v>
      </c>
      <c r="B162">
        <v>11</v>
      </c>
      <c r="C162">
        <v>11</v>
      </c>
      <c r="D162" t="s">
        <v>229</v>
      </c>
      <c r="E162" t="s">
        <v>229</v>
      </c>
      <c r="F162" t="s">
        <v>229</v>
      </c>
    </row>
    <row r="163" spans="1:6" x14ac:dyDescent="0.2">
      <c r="A163">
        <v>766</v>
      </c>
      <c r="B163">
        <v>11</v>
      </c>
    </row>
    <row r="164" spans="1:6" x14ac:dyDescent="0.2">
      <c r="A164">
        <v>766</v>
      </c>
      <c r="B164">
        <v>11</v>
      </c>
    </row>
    <row r="165" spans="1:6" x14ac:dyDescent="0.2">
      <c r="A165">
        <v>766</v>
      </c>
      <c r="B165" t="s">
        <v>179</v>
      </c>
    </row>
    <row r="166" spans="1:6" x14ac:dyDescent="0.2">
      <c r="A166">
        <v>767</v>
      </c>
      <c r="B166">
        <v>10</v>
      </c>
      <c r="C166">
        <f>AVERAGE(B166:B168)</f>
        <v>10.333333333333334</v>
      </c>
      <c r="D166" t="s">
        <v>228</v>
      </c>
      <c r="E166" t="s">
        <v>229</v>
      </c>
      <c r="F166" t="s">
        <v>229</v>
      </c>
    </row>
    <row r="167" spans="1:6" x14ac:dyDescent="0.2">
      <c r="A167">
        <v>767</v>
      </c>
      <c r="B167">
        <v>10</v>
      </c>
    </row>
    <row r="168" spans="1:6" x14ac:dyDescent="0.2">
      <c r="A168">
        <v>767</v>
      </c>
      <c r="B168">
        <v>11</v>
      </c>
    </row>
    <row r="169" spans="1:6" x14ac:dyDescent="0.2">
      <c r="A169">
        <v>767</v>
      </c>
      <c r="B169" t="s">
        <v>179</v>
      </c>
    </row>
    <row r="170" spans="1:6" x14ac:dyDescent="0.2">
      <c r="A170">
        <v>768</v>
      </c>
      <c r="B170">
        <v>11</v>
      </c>
      <c r="C170">
        <f>AVERAGE(B170:B174)</f>
        <v>13</v>
      </c>
      <c r="D170" t="s">
        <v>228</v>
      </c>
      <c r="E170" t="s">
        <v>228</v>
      </c>
      <c r="F170" t="s">
        <v>228</v>
      </c>
    </row>
    <row r="171" spans="1:6" x14ac:dyDescent="0.2">
      <c r="A171">
        <v>768</v>
      </c>
      <c r="B171">
        <v>13</v>
      </c>
    </row>
    <row r="172" spans="1:6" x14ac:dyDescent="0.2">
      <c r="A172">
        <v>768</v>
      </c>
      <c r="B172">
        <v>13</v>
      </c>
    </row>
    <row r="173" spans="1:6" x14ac:dyDescent="0.2">
      <c r="A173">
        <v>768</v>
      </c>
      <c r="B173">
        <v>14</v>
      </c>
    </row>
    <row r="174" spans="1:6" x14ac:dyDescent="0.2">
      <c r="A174">
        <v>768</v>
      </c>
      <c r="B174">
        <v>14</v>
      </c>
    </row>
    <row r="175" spans="1:6" x14ac:dyDescent="0.2">
      <c r="A175">
        <v>768</v>
      </c>
      <c r="B175" t="s">
        <v>179</v>
      </c>
    </row>
    <row r="176" spans="1:6" x14ac:dyDescent="0.2">
      <c r="A176">
        <v>769</v>
      </c>
      <c r="B176">
        <v>8</v>
      </c>
      <c r="C176">
        <f>AVERAGE(B176:B178)</f>
        <v>8.3333333333333339</v>
      </c>
      <c r="D176" t="s">
        <v>228</v>
      </c>
      <c r="E176" t="s">
        <v>229</v>
      </c>
      <c r="F176" t="s">
        <v>229</v>
      </c>
    </row>
    <row r="177" spans="1:6" x14ac:dyDescent="0.2">
      <c r="A177">
        <v>769</v>
      </c>
      <c r="B177">
        <v>8</v>
      </c>
    </row>
    <row r="178" spans="1:6" x14ac:dyDescent="0.2">
      <c r="A178">
        <v>769</v>
      </c>
      <c r="B178">
        <v>9</v>
      </c>
    </row>
    <row r="179" spans="1:6" x14ac:dyDescent="0.2">
      <c r="A179">
        <v>769</v>
      </c>
      <c r="B179" t="s">
        <v>179</v>
      </c>
    </row>
    <row r="180" spans="1:6" x14ac:dyDescent="0.2">
      <c r="A180">
        <v>770</v>
      </c>
      <c r="B180">
        <v>5</v>
      </c>
      <c r="C180">
        <v>5</v>
      </c>
      <c r="D180" t="s">
        <v>229</v>
      </c>
      <c r="E180" t="s">
        <v>229</v>
      </c>
      <c r="F180" t="s">
        <v>229</v>
      </c>
    </row>
    <row r="181" spans="1:6" x14ac:dyDescent="0.2">
      <c r="A181">
        <v>770</v>
      </c>
      <c r="B181">
        <v>5</v>
      </c>
    </row>
    <row r="182" spans="1:6" x14ac:dyDescent="0.2">
      <c r="A182">
        <v>770</v>
      </c>
      <c r="B182">
        <v>5</v>
      </c>
    </row>
    <row r="183" spans="1:6" x14ac:dyDescent="0.2">
      <c r="A183">
        <v>770</v>
      </c>
      <c r="B183" t="s">
        <v>179</v>
      </c>
    </row>
    <row r="184" spans="1:6" x14ac:dyDescent="0.2">
      <c r="A184">
        <v>771</v>
      </c>
      <c r="B184">
        <v>8</v>
      </c>
      <c r="C184">
        <v>8.5</v>
      </c>
      <c r="D184" t="s">
        <v>228</v>
      </c>
      <c r="E184" t="s">
        <v>229</v>
      </c>
      <c r="F184" t="s">
        <v>229</v>
      </c>
    </row>
    <row r="185" spans="1:6" x14ac:dyDescent="0.2">
      <c r="A185">
        <v>771</v>
      </c>
      <c r="B185">
        <v>9</v>
      </c>
    </row>
    <row r="186" spans="1:6" x14ac:dyDescent="0.2">
      <c r="A186">
        <v>771</v>
      </c>
      <c r="B186" t="s">
        <v>179</v>
      </c>
    </row>
    <row r="187" spans="1:6" x14ac:dyDescent="0.2">
      <c r="A187">
        <v>771</v>
      </c>
      <c r="B187" t="s">
        <v>179</v>
      </c>
    </row>
    <row r="188" spans="1:6" x14ac:dyDescent="0.2">
      <c r="A188">
        <v>772</v>
      </c>
      <c r="B188">
        <v>8</v>
      </c>
      <c r="C188">
        <f>AVERAGE(B188:B190)</f>
        <v>8.6666666666666661</v>
      </c>
      <c r="D188" t="s">
        <v>228</v>
      </c>
      <c r="E188" t="s">
        <v>228</v>
      </c>
      <c r="F188" t="s">
        <v>229</v>
      </c>
    </row>
    <row r="189" spans="1:6" x14ac:dyDescent="0.2">
      <c r="A189">
        <v>772</v>
      </c>
      <c r="B189">
        <v>8</v>
      </c>
    </row>
    <row r="190" spans="1:6" x14ac:dyDescent="0.2">
      <c r="A190">
        <v>772</v>
      </c>
      <c r="B190">
        <v>10</v>
      </c>
    </row>
    <row r="191" spans="1:6" x14ac:dyDescent="0.2">
      <c r="A191">
        <v>772</v>
      </c>
      <c r="B191" t="s">
        <v>179</v>
      </c>
    </row>
    <row r="192" spans="1:6" x14ac:dyDescent="0.2">
      <c r="A192">
        <v>773</v>
      </c>
      <c r="B192">
        <v>9</v>
      </c>
      <c r="C192">
        <f>AVERAGE(B192:B194)</f>
        <v>10.333333333333334</v>
      </c>
      <c r="D192" t="s">
        <v>228</v>
      </c>
      <c r="E192" t="s">
        <v>228</v>
      </c>
      <c r="F192" t="s">
        <v>229</v>
      </c>
    </row>
    <row r="193" spans="1:6" x14ac:dyDescent="0.2">
      <c r="A193">
        <v>773</v>
      </c>
      <c r="B193">
        <v>11</v>
      </c>
    </row>
    <row r="194" spans="1:6" x14ac:dyDescent="0.2">
      <c r="A194">
        <v>773</v>
      </c>
      <c r="B194">
        <v>11</v>
      </c>
    </row>
    <row r="195" spans="1:6" x14ac:dyDescent="0.2">
      <c r="A195">
        <v>773</v>
      </c>
      <c r="B195" t="s">
        <v>179</v>
      </c>
    </row>
    <row r="196" spans="1:6" x14ac:dyDescent="0.2">
      <c r="A196">
        <v>774</v>
      </c>
      <c r="B196">
        <v>11</v>
      </c>
      <c r="C196">
        <v>11</v>
      </c>
      <c r="D196" t="s">
        <v>229</v>
      </c>
      <c r="E196" t="s">
        <v>229</v>
      </c>
      <c r="F196" t="s">
        <v>229</v>
      </c>
    </row>
    <row r="197" spans="1:6" x14ac:dyDescent="0.2">
      <c r="A197">
        <v>774</v>
      </c>
      <c r="B197">
        <v>11</v>
      </c>
    </row>
    <row r="198" spans="1:6" x14ac:dyDescent="0.2">
      <c r="A198">
        <v>774</v>
      </c>
      <c r="B198">
        <v>11</v>
      </c>
    </row>
    <row r="199" spans="1:6" x14ac:dyDescent="0.2">
      <c r="A199">
        <v>774</v>
      </c>
      <c r="B199" t="s">
        <v>179</v>
      </c>
    </row>
    <row r="200" spans="1:6" x14ac:dyDescent="0.2">
      <c r="A200">
        <v>775</v>
      </c>
      <c r="B200" t="s">
        <v>179</v>
      </c>
    </row>
    <row r="201" spans="1:6" x14ac:dyDescent="0.2">
      <c r="A201">
        <v>775</v>
      </c>
      <c r="B201" t="s">
        <v>179</v>
      </c>
    </row>
    <row r="202" spans="1:6" x14ac:dyDescent="0.2">
      <c r="A202">
        <v>775</v>
      </c>
      <c r="B202" t="s">
        <v>179</v>
      </c>
    </row>
    <row r="203" spans="1:6" x14ac:dyDescent="0.2">
      <c r="A203">
        <v>775</v>
      </c>
      <c r="B203" t="s">
        <v>179</v>
      </c>
    </row>
    <row r="204" spans="1:6" x14ac:dyDescent="0.2">
      <c r="A204">
        <v>909</v>
      </c>
      <c r="B204">
        <v>8</v>
      </c>
      <c r="C204">
        <f>AVERAGE(B204:B206)</f>
        <v>8.6666666666666661</v>
      </c>
      <c r="D204" t="s">
        <v>228</v>
      </c>
      <c r="E204" t="s">
        <v>229</v>
      </c>
      <c r="F204" t="s">
        <v>229</v>
      </c>
    </row>
    <row r="205" spans="1:6" x14ac:dyDescent="0.2">
      <c r="A205">
        <v>909</v>
      </c>
      <c r="B205">
        <v>9</v>
      </c>
    </row>
    <row r="206" spans="1:6" x14ac:dyDescent="0.2">
      <c r="A206">
        <v>909</v>
      </c>
      <c r="B206">
        <v>9</v>
      </c>
    </row>
    <row r="207" spans="1:6" x14ac:dyDescent="0.2">
      <c r="A207">
        <v>909</v>
      </c>
      <c r="B207" t="s">
        <v>179</v>
      </c>
    </row>
    <row r="208" spans="1:6" x14ac:dyDescent="0.2">
      <c r="A208">
        <v>910</v>
      </c>
      <c r="B208">
        <v>8</v>
      </c>
      <c r="C208">
        <f>AVERAGE(B208:B210)</f>
        <v>8.6666666666666661</v>
      </c>
      <c r="D208" t="s">
        <v>228</v>
      </c>
      <c r="E208" t="s">
        <v>229</v>
      </c>
      <c r="F208" t="s">
        <v>229</v>
      </c>
    </row>
    <row r="209" spans="1:6" x14ac:dyDescent="0.2">
      <c r="A209">
        <v>910</v>
      </c>
      <c r="B209">
        <v>9</v>
      </c>
    </row>
    <row r="210" spans="1:6" x14ac:dyDescent="0.2">
      <c r="A210">
        <v>910</v>
      </c>
      <c r="B210">
        <v>9</v>
      </c>
    </row>
    <row r="211" spans="1:6" x14ac:dyDescent="0.2">
      <c r="A211">
        <v>910</v>
      </c>
      <c r="B211" t="s">
        <v>179</v>
      </c>
    </row>
    <row r="212" spans="1:6" x14ac:dyDescent="0.2">
      <c r="A212">
        <v>911</v>
      </c>
      <c r="B212">
        <v>12</v>
      </c>
      <c r="C212">
        <v>12</v>
      </c>
      <c r="D212" t="s">
        <v>229</v>
      </c>
      <c r="E212" t="s">
        <v>229</v>
      </c>
      <c r="F212" t="s">
        <v>229</v>
      </c>
    </row>
    <row r="213" spans="1:6" x14ac:dyDescent="0.2">
      <c r="A213">
        <v>911</v>
      </c>
      <c r="B213">
        <v>12</v>
      </c>
    </row>
    <row r="214" spans="1:6" x14ac:dyDescent="0.2">
      <c r="A214">
        <v>911</v>
      </c>
      <c r="B214">
        <v>12</v>
      </c>
    </row>
    <row r="215" spans="1:6" x14ac:dyDescent="0.2">
      <c r="A215">
        <v>911</v>
      </c>
      <c r="B215" t="s">
        <v>179</v>
      </c>
    </row>
    <row r="216" spans="1:6" x14ac:dyDescent="0.2">
      <c r="A216">
        <v>912</v>
      </c>
      <c r="B216">
        <v>10</v>
      </c>
      <c r="C216">
        <v>10</v>
      </c>
      <c r="D216" t="s">
        <v>229</v>
      </c>
      <c r="E216" t="s">
        <v>229</v>
      </c>
      <c r="F216" t="s">
        <v>229</v>
      </c>
    </row>
    <row r="217" spans="1:6" x14ac:dyDescent="0.2">
      <c r="A217">
        <v>912</v>
      </c>
      <c r="B217">
        <v>10</v>
      </c>
    </row>
    <row r="218" spans="1:6" x14ac:dyDescent="0.2">
      <c r="A218">
        <v>912</v>
      </c>
      <c r="B218">
        <v>10</v>
      </c>
    </row>
    <row r="219" spans="1:6" x14ac:dyDescent="0.2">
      <c r="A219">
        <v>912</v>
      </c>
      <c r="B219" t="s">
        <v>179</v>
      </c>
    </row>
    <row r="220" spans="1:6" x14ac:dyDescent="0.2">
      <c r="A220">
        <v>913</v>
      </c>
      <c r="B220">
        <v>7</v>
      </c>
      <c r="C220">
        <f>AVERAGE(B220:B222)</f>
        <v>9.3333333333333339</v>
      </c>
      <c r="D220" t="s">
        <v>228</v>
      </c>
      <c r="E220" t="s">
        <v>228</v>
      </c>
      <c r="F220" t="s">
        <v>228</v>
      </c>
    </row>
    <row r="221" spans="1:6" x14ac:dyDescent="0.2">
      <c r="A221">
        <v>913</v>
      </c>
      <c r="B221">
        <v>10</v>
      </c>
    </row>
    <row r="222" spans="1:6" x14ac:dyDescent="0.2">
      <c r="A222">
        <v>913</v>
      </c>
      <c r="B222">
        <v>11</v>
      </c>
    </row>
    <row r="223" spans="1:6" x14ac:dyDescent="0.2">
      <c r="A223">
        <v>913</v>
      </c>
      <c r="B223" t="s">
        <v>179</v>
      </c>
    </row>
    <row r="224" spans="1:6" x14ac:dyDescent="0.2">
      <c r="A224">
        <v>914</v>
      </c>
      <c r="B224">
        <v>10</v>
      </c>
      <c r="C224">
        <v>11</v>
      </c>
      <c r="D224" t="s">
        <v>228</v>
      </c>
      <c r="E224" t="s">
        <v>228</v>
      </c>
      <c r="F224" t="s">
        <v>229</v>
      </c>
    </row>
    <row r="225" spans="1:6" x14ac:dyDescent="0.2">
      <c r="A225">
        <v>914</v>
      </c>
      <c r="B225">
        <v>12</v>
      </c>
    </row>
    <row r="226" spans="1:6" x14ac:dyDescent="0.2">
      <c r="A226">
        <v>914</v>
      </c>
      <c r="B226" t="s">
        <v>179</v>
      </c>
    </row>
    <row r="227" spans="1:6" x14ac:dyDescent="0.2">
      <c r="A227">
        <v>914</v>
      </c>
      <c r="B227" t="s">
        <v>179</v>
      </c>
    </row>
    <row r="228" spans="1:6" x14ac:dyDescent="0.2">
      <c r="A228">
        <v>915</v>
      </c>
      <c r="B228">
        <v>9</v>
      </c>
      <c r="C228">
        <f>AVERAGE(B228:B230)</f>
        <v>9.3333333333333339</v>
      </c>
      <c r="D228" t="s">
        <v>228</v>
      </c>
      <c r="E228" t="s">
        <v>229</v>
      </c>
      <c r="F228" t="s">
        <v>229</v>
      </c>
    </row>
    <row r="229" spans="1:6" x14ac:dyDescent="0.2">
      <c r="A229">
        <v>915</v>
      </c>
      <c r="B229">
        <v>9</v>
      </c>
    </row>
    <row r="230" spans="1:6" x14ac:dyDescent="0.2">
      <c r="A230">
        <v>915</v>
      </c>
      <c r="B230">
        <v>10</v>
      </c>
    </row>
    <row r="231" spans="1:6" x14ac:dyDescent="0.2">
      <c r="A231">
        <v>915</v>
      </c>
      <c r="B231" t="s">
        <v>179</v>
      </c>
    </row>
    <row r="232" spans="1:6" x14ac:dyDescent="0.2">
      <c r="A232">
        <v>916</v>
      </c>
      <c r="B232">
        <v>9</v>
      </c>
      <c r="C232">
        <f>AVERAGE(B232:B234)</f>
        <v>9.3333333333333339</v>
      </c>
      <c r="D232" t="s">
        <v>228</v>
      </c>
      <c r="E232" t="s">
        <v>229</v>
      </c>
      <c r="F232" t="s">
        <v>229</v>
      </c>
    </row>
    <row r="233" spans="1:6" x14ac:dyDescent="0.2">
      <c r="A233">
        <v>916</v>
      </c>
      <c r="B233">
        <v>9</v>
      </c>
    </row>
    <row r="234" spans="1:6" x14ac:dyDescent="0.2">
      <c r="A234">
        <v>916</v>
      </c>
      <c r="B234">
        <v>10</v>
      </c>
    </row>
    <row r="235" spans="1:6" x14ac:dyDescent="0.2">
      <c r="A235">
        <v>916</v>
      </c>
      <c r="B235" t="s">
        <v>179</v>
      </c>
    </row>
    <row r="236" spans="1:6" x14ac:dyDescent="0.2">
      <c r="A236">
        <v>917</v>
      </c>
      <c r="B236">
        <v>7</v>
      </c>
      <c r="C236">
        <f>AVERAGE(B236:B238)</f>
        <v>7.666666666666667</v>
      </c>
      <c r="D236" t="s">
        <v>228</v>
      </c>
      <c r="E236" t="s">
        <v>229</v>
      </c>
      <c r="F236" t="s">
        <v>229</v>
      </c>
    </row>
    <row r="237" spans="1:6" x14ac:dyDescent="0.2">
      <c r="A237">
        <v>917</v>
      </c>
      <c r="B237">
        <v>8</v>
      </c>
    </row>
    <row r="238" spans="1:6" x14ac:dyDescent="0.2">
      <c r="A238">
        <v>917</v>
      </c>
      <c r="B238">
        <v>8</v>
      </c>
    </row>
    <row r="239" spans="1:6" x14ac:dyDescent="0.2">
      <c r="A239">
        <v>917</v>
      </c>
      <c r="B239" t="s">
        <v>179</v>
      </c>
    </row>
    <row r="240" spans="1:6" x14ac:dyDescent="0.2">
      <c r="A240">
        <v>918</v>
      </c>
      <c r="B240">
        <v>8</v>
      </c>
      <c r="C240">
        <f>AVERAGE(B240:B242)</f>
        <v>10</v>
      </c>
      <c r="D240" t="s">
        <v>228</v>
      </c>
      <c r="E240" t="s">
        <v>228</v>
      </c>
      <c r="F240" t="s">
        <v>228</v>
      </c>
    </row>
    <row r="241" spans="1:6" x14ac:dyDescent="0.2">
      <c r="A241">
        <v>918</v>
      </c>
      <c r="B241">
        <v>11</v>
      </c>
    </row>
    <row r="242" spans="1:6" x14ac:dyDescent="0.2">
      <c r="A242">
        <v>918</v>
      </c>
      <c r="B242">
        <v>11</v>
      </c>
    </row>
    <row r="243" spans="1:6" x14ac:dyDescent="0.2">
      <c r="A243">
        <v>918</v>
      </c>
      <c r="B243" t="s">
        <v>179</v>
      </c>
      <c r="C243">
        <f>AVERAGE(C2:C241)</f>
        <v>9.2791666666666668</v>
      </c>
      <c r="D243">
        <f>COUNTIF(D2:D242,"y")</f>
        <v>13</v>
      </c>
      <c r="E243">
        <f t="shared" ref="E243:F243" si="0">COUNTIF(E2:E242,"y")</f>
        <v>35</v>
      </c>
      <c r="F243">
        <f t="shared" si="0"/>
        <v>46</v>
      </c>
    </row>
  </sheetData>
  <sortState xmlns:xlrd2="http://schemas.microsoft.com/office/spreadsheetml/2017/richdata2" ref="A2:B244">
    <sortCondition ref="A2:A2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E8C7-979E-7C43-8F28-3FEAF6EC0585}">
  <dimension ref="A1:AG186"/>
  <sheetViews>
    <sheetView topLeftCell="Q1" workbookViewId="0">
      <selection activeCell="U8" sqref="U8"/>
    </sheetView>
  </sheetViews>
  <sheetFormatPr baseColWidth="10" defaultRowHeight="16" x14ac:dyDescent="0.2"/>
  <sheetData>
    <row r="1" spans="1:33" x14ac:dyDescent="0.2">
      <c r="A1" t="s">
        <v>226</v>
      </c>
      <c r="B1" t="s">
        <v>223</v>
      </c>
      <c r="C1" t="s">
        <v>175</v>
      </c>
      <c r="D1" t="s">
        <v>211</v>
      </c>
      <c r="E1" t="s">
        <v>212</v>
      </c>
      <c r="F1" t="s">
        <v>213</v>
      </c>
      <c r="G1" t="s">
        <v>214</v>
      </c>
      <c r="H1" t="s">
        <v>215</v>
      </c>
      <c r="I1" t="s">
        <v>216</v>
      </c>
      <c r="J1" t="s">
        <v>217</v>
      </c>
      <c r="K1" t="s">
        <v>218</v>
      </c>
      <c r="L1" t="s">
        <v>219</v>
      </c>
      <c r="M1" t="s">
        <v>220</v>
      </c>
      <c r="N1" t="s">
        <v>221</v>
      </c>
      <c r="Q1" t="s">
        <v>223</v>
      </c>
      <c r="R1" t="s">
        <v>211</v>
      </c>
      <c r="S1" t="s">
        <v>221</v>
      </c>
      <c r="T1" t="s">
        <v>241</v>
      </c>
      <c r="U1" t="s">
        <v>242</v>
      </c>
      <c r="V1" t="s">
        <v>243</v>
      </c>
      <c r="W1" t="s">
        <v>244</v>
      </c>
      <c r="Y1" t="s">
        <v>223</v>
      </c>
      <c r="Z1" t="s">
        <v>235</v>
      </c>
      <c r="AA1" t="s">
        <v>217</v>
      </c>
      <c r="AB1" t="s">
        <v>247</v>
      </c>
      <c r="AD1" t="s">
        <v>245</v>
      </c>
      <c r="AE1" t="s">
        <v>239</v>
      </c>
      <c r="AF1" t="s">
        <v>240</v>
      </c>
    </row>
    <row r="2" spans="1:33" x14ac:dyDescent="0.2">
      <c r="A2" t="s">
        <v>224</v>
      </c>
      <c r="B2">
        <v>758</v>
      </c>
      <c r="C2">
        <v>665</v>
      </c>
      <c r="D2" t="s">
        <v>179</v>
      </c>
      <c r="E2" t="s">
        <v>179</v>
      </c>
      <c r="F2" t="s">
        <v>179</v>
      </c>
      <c r="G2" t="s">
        <v>179</v>
      </c>
      <c r="H2" t="s">
        <v>179</v>
      </c>
      <c r="I2" t="s">
        <v>179</v>
      </c>
      <c r="J2" t="s">
        <v>179</v>
      </c>
      <c r="K2" t="s">
        <v>179</v>
      </c>
      <c r="L2" t="s">
        <v>179</v>
      </c>
      <c r="M2" t="s">
        <v>179</v>
      </c>
      <c r="N2" t="s">
        <v>179</v>
      </c>
      <c r="Q2">
        <v>580</v>
      </c>
      <c r="R2">
        <v>0</v>
      </c>
      <c r="S2">
        <v>1</v>
      </c>
      <c r="T2">
        <v>3</v>
      </c>
      <c r="U2">
        <v>3</v>
      </c>
      <c r="Y2">
        <v>580</v>
      </c>
      <c r="Z2" t="s">
        <v>236</v>
      </c>
      <c r="AA2" t="s">
        <v>233</v>
      </c>
      <c r="AB2" t="s">
        <v>233</v>
      </c>
      <c r="AD2" t="s">
        <v>236</v>
      </c>
      <c r="AE2">
        <f>COUNTIF(AB2:AB29,"Y")</f>
        <v>19</v>
      </c>
      <c r="AF2">
        <f>COUNTIF(AB2:AB29,"N")</f>
        <v>9</v>
      </c>
      <c r="AG2">
        <f>SUM(AE2:AF2)</f>
        <v>28</v>
      </c>
    </row>
    <row r="3" spans="1:33" x14ac:dyDescent="0.2">
      <c r="A3" t="s">
        <v>224</v>
      </c>
      <c r="B3">
        <v>774</v>
      </c>
      <c r="C3">
        <v>1133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Q3">
        <v>580</v>
      </c>
      <c r="R3">
        <v>0</v>
      </c>
      <c r="S3">
        <v>1</v>
      </c>
      <c r="Y3">
        <v>580</v>
      </c>
      <c r="Z3" t="s">
        <v>236</v>
      </c>
      <c r="AA3" t="s">
        <v>233</v>
      </c>
      <c r="AB3" t="s">
        <v>233</v>
      </c>
      <c r="AD3" t="s">
        <v>238</v>
      </c>
      <c r="AE3">
        <f>COUNTIF(AB166:AB183,"Y")</f>
        <v>13</v>
      </c>
      <c r="AF3">
        <f>COUNTIF(AB166:AB183,"N")</f>
        <v>5</v>
      </c>
      <c r="AG3">
        <f t="shared" ref="AG3:AG9" si="0">SUM(AE3:AF3)</f>
        <v>18</v>
      </c>
    </row>
    <row r="4" spans="1:33" x14ac:dyDescent="0.2">
      <c r="A4" t="s">
        <v>224</v>
      </c>
      <c r="B4">
        <v>767</v>
      </c>
      <c r="C4">
        <v>1193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Q4">
        <v>580</v>
      </c>
      <c r="R4">
        <v>0</v>
      </c>
      <c r="S4">
        <v>1</v>
      </c>
      <c r="Y4">
        <v>580</v>
      </c>
      <c r="Z4" t="s">
        <v>236</v>
      </c>
      <c r="AA4" t="s">
        <v>233</v>
      </c>
      <c r="AB4" t="s">
        <v>233</v>
      </c>
      <c r="AD4" t="s">
        <v>237</v>
      </c>
      <c r="AE4">
        <f>COUNTIF(AB30:AB165,"Y")</f>
        <v>75</v>
      </c>
      <c r="AF4">
        <f>COUNTIF(AB30:AB165,"N")</f>
        <v>36</v>
      </c>
      <c r="AG4">
        <f t="shared" si="0"/>
        <v>111</v>
      </c>
    </row>
    <row r="5" spans="1:33" x14ac:dyDescent="0.2">
      <c r="A5" t="s">
        <v>224</v>
      </c>
      <c r="B5">
        <v>759</v>
      </c>
      <c r="C5">
        <v>1229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Q5">
        <v>652</v>
      </c>
      <c r="R5">
        <v>0</v>
      </c>
      <c r="S5">
        <v>0</v>
      </c>
      <c r="T5">
        <v>2</v>
      </c>
      <c r="U5">
        <v>3</v>
      </c>
      <c r="Y5">
        <v>654</v>
      </c>
      <c r="Z5" t="s">
        <v>236</v>
      </c>
      <c r="AA5" t="s">
        <v>232</v>
      </c>
      <c r="AB5" t="s">
        <v>232</v>
      </c>
    </row>
    <row r="6" spans="1:33" x14ac:dyDescent="0.2">
      <c r="A6" t="s">
        <v>224</v>
      </c>
      <c r="B6">
        <v>766</v>
      </c>
      <c r="C6">
        <v>1399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Q6">
        <v>652</v>
      </c>
      <c r="R6">
        <v>0</v>
      </c>
      <c r="S6">
        <v>0</v>
      </c>
      <c r="Y6">
        <v>654</v>
      </c>
      <c r="Z6" t="s">
        <v>236</v>
      </c>
      <c r="AA6" t="s">
        <v>233</v>
      </c>
      <c r="AB6" t="s">
        <v>233</v>
      </c>
      <c r="AD6" t="s">
        <v>246</v>
      </c>
      <c r="AE6" t="s">
        <v>239</v>
      </c>
      <c r="AF6" t="s">
        <v>240</v>
      </c>
    </row>
    <row r="7" spans="1:33" x14ac:dyDescent="0.2">
      <c r="A7" t="s">
        <v>224</v>
      </c>
      <c r="B7">
        <v>762</v>
      </c>
      <c r="C7">
        <v>2509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Q7">
        <v>652</v>
      </c>
      <c r="R7" t="s">
        <v>179</v>
      </c>
      <c r="S7" t="s">
        <v>179</v>
      </c>
      <c r="Y7">
        <v>654</v>
      </c>
      <c r="Z7" t="s">
        <v>236</v>
      </c>
      <c r="AA7" t="s">
        <v>233</v>
      </c>
      <c r="AB7" t="s">
        <v>233</v>
      </c>
      <c r="AD7" t="s">
        <v>236</v>
      </c>
      <c r="AE7">
        <f>COUNTIF(AA2:AA29,"Y")</f>
        <v>16</v>
      </c>
      <c r="AF7">
        <f>COUNTIF(AA2:AA29,"N")</f>
        <v>12</v>
      </c>
      <c r="AG7">
        <f t="shared" si="0"/>
        <v>28</v>
      </c>
    </row>
    <row r="8" spans="1:33" x14ac:dyDescent="0.2">
      <c r="A8" t="s">
        <v>224</v>
      </c>
      <c r="B8">
        <v>914</v>
      </c>
      <c r="C8">
        <v>2600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Q8">
        <v>653</v>
      </c>
      <c r="R8">
        <v>0</v>
      </c>
      <c r="S8">
        <v>0</v>
      </c>
      <c r="T8">
        <v>3</v>
      </c>
      <c r="U8">
        <v>3</v>
      </c>
      <c r="Y8">
        <v>656</v>
      </c>
      <c r="Z8" t="s">
        <v>236</v>
      </c>
      <c r="AA8" t="s">
        <v>232</v>
      </c>
      <c r="AB8" t="s">
        <v>232</v>
      </c>
      <c r="AD8" t="s">
        <v>238</v>
      </c>
      <c r="AE8">
        <f>COUNTIF(AA166:AA183,"Y")</f>
        <v>12</v>
      </c>
      <c r="AF8">
        <f>COUNTIF(AA166:AA183,"N")</f>
        <v>6</v>
      </c>
      <c r="AG8">
        <f t="shared" si="0"/>
        <v>18</v>
      </c>
    </row>
    <row r="9" spans="1:33" x14ac:dyDescent="0.2">
      <c r="A9" t="s">
        <v>224</v>
      </c>
      <c r="B9">
        <v>673</v>
      </c>
      <c r="C9">
        <v>2769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Q9">
        <v>653</v>
      </c>
      <c r="R9">
        <v>0</v>
      </c>
      <c r="S9">
        <v>1</v>
      </c>
      <c r="Y9">
        <v>656</v>
      </c>
      <c r="Z9" t="s">
        <v>236</v>
      </c>
      <c r="AA9" t="s">
        <v>232</v>
      </c>
      <c r="AB9" t="s">
        <v>232</v>
      </c>
      <c r="AD9" t="s">
        <v>237</v>
      </c>
      <c r="AE9">
        <f>COUNTIF(AA30:AA165,"Y")</f>
        <v>69</v>
      </c>
      <c r="AF9">
        <f>COUNTIF(AA30:AA165,"N")</f>
        <v>42</v>
      </c>
      <c r="AG9">
        <f t="shared" si="0"/>
        <v>111</v>
      </c>
    </row>
    <row r="10" spans="1:33" x14ac:dyDescent="0.2">
      <c r="A10" t="s">
        <v>224</v>
      </c>
      <c r="B10">
        <v>660</v>
      </c>
      <c r="C10">
        <v>2822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Q10">
        <v>653</v>
      </c>
      <c r="R10">
        <v>0</v>
      </c>
      <c r="S10">
        <v>1</v>
      </c>
      <c r="Y10">
        <v>656</v>
      </c>
      <c r="Z10" t="s">
        <v>236</v>
      </c>
      <c r="AA10" t="s">
        <v>233</v>
      </c>
      <c r="AB10" t="s">
        <v>233</v>
      </c>
    </row>
    <row r="11" spans="1:33" x14ac:dyDescent="0.2">
      <c r="A11" t="s">
        <v>224</v>
      </c>
      <c r="B11">
        <v>580</v>
      </c>
      <c r="C11">
        <v>3062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Q11">
        <v>654</v>
      </c>
      <c r="R11">
        <v>0</v>
      </c>
      <c r="S11">
        <v>0</v>
      </c>
      <c r="T11">
        <v>3</v>
      </c>
      <c r="U11">
        <v>3</v>
      </c>
      <c r="Y11">
        <v>656</v>
      </c>
      <c r="Z11" t="s">
        <v>236</v>
      </c>
      <c r="AA11" t="s">
        <v>233</v>
      </c>
      <c r="AB11" t="s">
        <v>233</v>
      </c>
    </row>
    <row r="12" spans="1:33" x14ac:dyDescent="0.2">
      <c r="A12" t="s">
        <v>224</v>
      </c>
      <c r="B12">
        <v>775</v>
      </c>
      <c r="C12">
        <v>3776</v>
      </c>
      <c r="D12" t="s">
        <v>179</v>
      </c>
      <c r="E12" t="s">
        <v>179</v>
      </c>
      <c r="F12" t="s">
        <v>179</v>
      </c>
      <c r="G12" t="s">
        <v>179</v>
      </c>
      <c r="H12" t="s">
        <v>179</v>
      </c>
      <c r="I12" t="s">
        <v>179</v>
      </c>
      <c r="J12" t="s">
        <v>179</v>
      </c>
      <c r="K12" t="s">
        <v>179</v>
      </c>
      <c r="L12" t="s">
        <v>179</v>
      </c>
      <c r="M12" t="s">
        <v>179</v>
      </c>
      <c r="N12" t="s">
        <v>179</v>
      </c>
      <c r="Q12">
        <v>654</v>
      </c>
      <c r="R12">
        <v>0</v>
      </c>
      <c r="S12">
        <v>1</v>
      </c>
      <c r="Y12">
        <v>656</v>
      </c>
      <c r="Z12" t="s">
        <v>236</v>
      </c>
      <c r="AA12" t="s">
        <v>232</v>
      </c>
      <c r="AB12" t="s">
        <v>232</v>
      </c>
    </row>
    <row r="13" spans="1:33" x14ac:dyDescent="0.2">
      <c r="A13" t="s">
        <v>224</v>
      </c>
      <c r="B13">
        <v>753</v>
      </c>
      <c r="C13">
        <v>3891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Q13">
        <v>654</v>
      </c>
      <c r="R13">
        <v>0</v>
      </c>
      <c r="S13">
        <v>1</v>
      </c>
      <c r="Y13">
        <v>663</v>
      </c>
      <c r="Z13" t="s">
        <v>236</v>
      </c>
      <c r="AA13" t="s">
        <v>233</v>
      </c>
      <c r="AB13" t="s">
        <v>233</v>
      </c>
    </row>
    <row r="14" spans="1:33" x14ac:dyDescent="0.2">
      <c r="A14" t="s">
        <v>224</v>
      </c>
      <c r="B14">
        <v>754</v>
      </c>
      <c r="C14">
        <v>4452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Q14">
        <v>655</v>
      </c>
      <c r="R14">
        <v>0</v>
      </c>
      <c r="S14" t="s">
        <v>179</v>
      </c>
      <c r="T14">
        <v>1</v>
      </c>
      <c r="U14">
        <v>3</v>
      </c>
      <c r="Y14">
        <v>663</v>
      </c>
      <c r="Z14" t="s">
        <v>236</v>
      </c>
      <c r="AA14" t="s">
        <v>233</v>
      </c>
      <c r="AB14" t="s">
        <v>233</v>
      </c>
    </row>
    <row r="15" spans="1:33" x14ac:dyDescent="0.2">
      <c r="A15" t="s">
        <v>224</v>
      </c>
      <c r="B15">
        <v>657</v>
      </c>
      <c r="C15">
        <v>4489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Q15">
        <v>655</v>
      </c>
      <c r="R15" t="s">
        <v>179</v>
      </c>
      <c r="S15">
        <v>1</v>
      </c>
      <c r="Y15">
        <v>663</v>
      </c>
      <c r="Z15" t="s">
        <v>236</v>
      </c>
      <c r="AA15" t="s">
        <v>233</v>
      </c>
      <c r="AB15" t="s">
        <v>233</v>
      </c>
    </row>
    <row r="16" spans="1:33" x14ac:dyDescent="0.2">
      <c r="A16" t="s">
        <v>224</v>
      </c>
      <c r="B16">
        <v>668</v>
      </c>
      <c r="C16">
        <v>4522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Q16">
        <v>655</v>
      </c>
      <c r="R16" t="s">
        <v>179</v>
      </c>
      <c r="S16" t="s">
        <v>179</v>
      </c>
      <c r="Y16">
        <v>673</v>
      </c>
      <c r="Z16" t="s">
        <v>236</v>
      </c>
      <c r="AA16" t="s">
        <v>232</v>
      </c>
      <c r="AB16" t="s">
        <v>232</v>
      </c>
    </row>
    <row r="17" spans="1:28" x14ac:dyDescent="0.2">
      <c r="A17" t="s">
        <v>224</v>
      </c>
      <c r="B17">
        <v>768</v>
      </c>
      <c r="C17">
        <v>4704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Q17">
        <v>656</v>
      </c>
      <c r="R17">
        <v>0</v>
      </c>
      <c r="S17">
        <v>0</v>
      </c>
      <c r="T17">
        <v>5</v>
      </c>
      <c r="U17">
        <v>5</v>
      </c>
      <c r="Y17">
        <v>673</v>
      </c>
      <c r="Z17" t="s">
        <v>236</v>
      </c>
      <c r="AA17" t="s">
        <v>232</v>
      </c>
      <c r="AB17" t="s">
        <v>232</v>
      </c>
    </row>
    <row r="18" spans="1:28" x14ac:dyDescent="0.2">
      <c r="A18" t="s">
        <v>224</v>
      </c>
      <c r="B18">
        <v>656</v>
      </c>
      <c r="C18">
        <v>4782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Q18">
        <v>656</v>
      </c>
      <c r="R18">
        <v>0</v>
      </c>
      <c r="S18">
        <v>0</v>
      </c>
      <c r="Y18">
        <v>673</v>
      </c>
      <c r="Z18" t="s">
        <v>236</v>
      </c>
      <c r="AA18" t="s">
        <v>232</v>
      </c>
      <c r="AB18" t="s">
        <v>232</v>
      </c>
    </row>
    <row r="19" spans="1:28" x14ac:dyDescent="0.2">
      <c r="A19" t="s">
        <v>224</v>
      </c>
      <c r="B19">
        <v>912</v>
      </c>
      <c r="C19">
        <v>5175</v>
      </c>
      <c r="D19">
        <v>0</v>
      </c>
      <c r="E19">
        <v>0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Q19">
        <v>656</v>
      </c>
      <c r="R19">
        <v>0</v>
      </c>
      <c r="S19">
        <v>1</v>
      </c>
      <c r="Y19">
        <v>753</v>
      </c>
      <c r="Z19" t="s">
        <v>236</v>
      </c>
      <c r="AA19" t="s">
        <v>232</v>
      </c>
      <c r="AB19" t="s">
        <v>233</v>
      </c>
    </row>
    <row r="20" spans="1:28" x14ac:dyDescent="0.2">
      <c r="A20" t="s">
        <v>224</v>
      </c>
      <c r="B20">
        <v>751</v>
      </c>
      <c r="C20">
        <v>5287</v>
      </c>
      <c r="D20">
        <v>0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Q20">
        <v>656</v>
      </c>
      <c r="R20">
        <v>0</v>
      </c>
      <c r="S20">
        <v>1</v>
      </c>
      <c r="Y20">
        <v>753</v>
      </c>
      <c r="Z20" t="s">
        <v>236</v>
      </c>
      <c r="AA20" t="s">
        <v>232</v>
      </c>
      <c r="AB20" t="s">
        <v>232</v>
      </c>
    </row>
    <row r="21" spans="1:28" x14ac:dyDescent="0.2">
      <c r="A21" t="s">
        <v>224</v>
      </c>
      <c r="B21">
        <v>916</v>
      </c>
      <c r="C21">
        <v>5357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Q21">
        <v>656</v>
      </c>
      <c r="R21">
        <v>0</v>
      </c>
      <c r="S21">
        <v>0</v>
      </c>
      <c r="Y21">
        <v>764</v>
      </c>
      <c r="Z21" t="s">
        <v>236</v>
      </c>
      <c r="AA21" t="s">
        <v>233</v>
      </c>
      <c r="AB21" t="s">
        <v>233</v>
      </c>
    </row>
    <row r="22" spans="1:28" x14ac:dyDescent="0.2">
      <c r="A22" t="s">
        <v>224</v>
      </c>
      <c r="B22">
        <v>915</v>
      </c>
      <c r="C22">
        <v>5377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Q22">
        <v>657</v>
      </c>
      <c r="R22">
        <v>0</v>
      </c>
      <c r="S22">
        <v>1</v>
      </c>
      <c r="T22">
        <v>3</v>
      </c>
      <c r="U22">
        <v>3</v>
      </c>
      <c r="Y22">
        <v>764</v>
      </c>
      <c r="Z22" t="s">
        <v>236</v>
      </c>
      <c r="AA22" t="s">
        <v>232</v>
      </c>
      <c r="AB22" t="s">
        <v>233</v>
      </c>
    </row>
    <row r="23" spans="1:28" x14ac:dyDescent="0.2">
      <c r="A23" t="s">
        <v>224</v>
      </c>
      <c r="B23">
        <v>772</v>
      </c>
      <c r="C23">
        <v>5497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Q23">
        <v>657</v>
      </c>
      <c r="R23">
        <v>0</v>
      </c>
      <c r="S23">
        <v>1</v>
      </c>
      <c r="Y23">
        <v>764</v>
      </c>
      <c r="Z23" t="s">
        <v>236</v>
      </c>
      <c r="AA23" t="s">
        <v>232</v>
      </c>
      <c r="AB23" t="s">
        <v>233</v>
      </c>
    </row>
    <row r="24" spans="1:28" x14ac:dyDescent="0.2">
      <c r="A24" t="s">
        <v>224</v>
      </c>
      <c r="B24">
        <v>760</v>
      </c>
      <c r="C24">
        <v>5572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Q24">
        <v>657</v>
      </c>
      <c r="R24">
        <v>0</v>
      </c>
      <c r="S24">
        <v>1</v>
      </c>
      <c r="Y24">
        <v>910</v>
      </c>
      <c r="Z24" t="s">
        <v>236</v>
      </c>
      <c r="AA24" t="s">
        <v>233</v>
      </c>
      <c r="AB24" t="s">
        <v>233</v>
      </c>
    </row>
    <row r="25" spans="1:28" x14ac:dyDescent="0.2">
      <c r="A25" t="s">
        <v>224</v>
      </c>
      <c r="B25">
        <v>761</v>
      </c>
      <c r="C25">
        <v>6010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Q25">
        <v>658</v>
      </c>
      <c r="R25">
        <v>0</v>
      </c>
      <c r="S25" t="s">
        <v>179</v>
      </c>
      <c r="T25">
        <v>2</v>
      </c>
      <c r="U25">
        <v>3</v>
      </c>
      <c r="Y25">
        <v>910</v>
      </c>
      <c r="Z25" t="s">
        <v>236</v>
      </c>
      <c r="AA25" t="s">
        <v>232</v>
      </c>
      <c r="AB25" t="s">
        <v>232</v>
      </c>
    </row>
    <row r="26" spans="1:28" x14ac:dyDescent="0.2">
      <c r="A26" t="s">
        <v>224</v>
      </c>
      <c r="B26">
        <v>913</v>
      </c>
      <c r="C26">
        <v>6076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Q26">
        <v>658</v>
      </c>
      <c r="R26">
        <v>0</v>
      </c>
      <c r="S26">
        <v>0</v>
      </c>
      <c r="Y26">
        <v>910</v>
      </c>
      <c r="Z26" t="s">
        <v>236</v>
      </c>
      <c r="AA26" t="s">
        <v>233</v>
      </c>
      <c r="AB26" t="s">
        <v>233</v>
      </c>
    </row>
    <row r="27" spans="1:28" x14ac:dyDescent="0.2">
      <c r="A27" t="s">
        <v>224</v>
      </c>
      <c r="B27">
        <v>671</v>
      </c>
      <c r="C27">
        <v>6117</v>
      </c>
      <c r="D27" t="s">
        <v>179</v>
      </c>
      <c r="E27" t="s">
        <v>179</v>
      </c>
      <c r="F27" t="s">
        <v>179</v>
      </c>
      <c r="G27" t="s">
        <v>179</v>
      </c>
      <c r="H27" t="s">
        <v>179</v>
      </c>
      <c r="I27" t="s">
        <v>179</v>
      </c>
      <c r="J27" t="s">
        <v>179</v>
      </c>
      <c r="K27" t="s">
        <v>179</v>
      </c>
      <c r="L27" t="s">
        <v>179</v>
      </c>
      <c r="M27" t="s">
        <v>179</v>
      </c>
      <c r="N27" t="s">
        <v>179</v>
      </c>
      <c r="Q27">
        <v>658</v>
      </c>
      <c r="R27" t="s">
        <v>179</v>
      </c>
      <c r="S27">
        <v>1</v>
      </c>
      <c r="Y27">
        <v>917</v>
      </c>
      <c r="Z27" t="s">
        <v>236</v>
      </c>
      <c r="AA27" t="s">
        <v>233</v>
      </c>
      <c r="AB27" t="s">
        <v>233</v>
      </c>
    </row>
    <row r="28" spans="1:28" x14ac:dyDescent="0.2">
      <c r="A28" t="s">
        <v>224</v>
      </c>
      <c r="B28">
        <v>764</v>
      </c>
      <c r="C28">
        <v>6471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Q28">
        <v>659</v>
      </c>
      <c r="R28">
        <v>0</v>
      </c>
      <c r="S28">
        <v>0</v>
      </c>
      <c r="T28">
        <v>3</v>
      </c>
      <c r="U28">
        <v>3</v>
      </c>
      <c r="Y28">
        <v>917</v>
      </c>
      <c r="Z28" t="s">
        <v>236</v>
      </c>
      <c r="AA28" t="s">
        <v>233</v>
      </c>
      <c r="AB28" t="s">
        <v>233</v>
      </c>
    </row>
    <row r="29" spans="1:28" x14ac:dyDescent="0.2">
      <c r="A29" t="s">
        <v>224</v>
      </c>
      <c r="B29">
        <v>917</v>
      </c>
      <c r="C29">
        <v>6706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Q29">
        <v>659</v>
      </c>
      <c r="R29">
        <v>0</v>
      </c>
      <c r="S29">
        <v>1</v>
      </c>
      <c r="Y29">
        <v>917</v>
      </c>
      <c r="Z29" t="s">
        <v>236</v>
      </c>
      <c r="AA29" t="s">
        <v>233</v>
      </c>
      <c r="AB29" t="s">
        <v>233</v>
      </c>
    </row>
    <row r="30" spans="1:28" x14ac:dyDescent="0.2">
      <c r="A30" t="s">
        <v>224</v>
      </c>
      <c r="B30">
        <v>768</v>
      </c>
      <c r="C30">
        <v>7506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Q30">
        <v>659</v>
      </c>
      <c r="R30">
        <v>0</v>
      </c>
      <c r="S30">
        <v>1</v>
      </c>
      <c r="Y30">
        <v>652</v>
      </c>
      <c r="Z30" t="s">
        <v>237</v>
      </c>
      <c r="AA30" t="s">
        <v>232</v>
      </c>
      <c r="AB30" t="s">
        <v>232</v>
      </c>
    </row>
    <row r="31" spans="1:28" x14ac:dyDescent="0.2">
      <c r="A31" t="s">
        <v>224</v>
      </c>
      <c r="B31">
        <v>911</v>
      </c>
      <c r="C31">
        <v>7535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Q31">
        <v>660</v>
      </c>
      <c r="R31">
        <v>0</v>
      </c>
      <c r="S31">
        <v>1</v>
      </c>
      <c r="T31">
        <v>3</v>
      </c>
      <c r="U31">
        <v>3</v>
      </c>
      <c r="Y31">
        <v>652</v>
      </c>
      <c r="Z31" t="s">
        <v>237</v>
      </c>
      <c r="AA31" t="s">
        <v>232</v>
      </c>
      <c r="AB31" t="s">
        <v>232</v>
      </c>
    </row>
    <row r="32" spans="1:28" x14ac:dyDescent="0.2">
      <c r="A32" t="s">
        <v>224</v>
      </c>
      <c r="B32">
        <v>755</v>
      </c>
      <c r="C32">
        <v>7565</v>
      </c>
      <c r="D32">
        <v>0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Q32">
        <v>660</v>
      </c>
      <c r="R32">
        <v>0</v>
      </c>
      <c r="S32">
        <v>0</v>
      </c>
      <c r="Y32">
        <v>652</v>
      </c>
      <c r="Z32" t="s">
        <v>237</v>
      </c>
      <c r="AA32" t="s">
        <v>179</v>
      </c>
      <c r="AB32" t="s">
        <v>179</v>
      </c>
    </row>
    <row r="33" spans="1:28" x14ac:dyDescent="0.2">
      <c r="A33" t="s">
        <v>224</v>
      </c>
      <c r="B33">
        <v>654</v>
      </c>
      <c r="C33">
        <v>7580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Q33">
        <v>660</v>
      </c>
      <c r="R33">
        <v>0</v>
      </c>
      <c r="S33">
        <v>1</v>
      </c>
      <c r="Y33">
        <v>653</v>
      </c>
      <c r="Z33" t="s">
        <v>237</v>
      </c>
      <c r="AA33" t="s">
        <v>232</v>
      </c>
      <c r="AB33" t="s">
        <v>232</v>
      </c>
    </row>
    <row r="34" spans="1:28" x14ac:dyDescent="0.2">
      <c r="A34" t="s">
        <v>224</v>
      </c>
      <c r="B34">
        <v>769</v>
      </c>
      <c r="C34">
        <v>7640</v>
      </c>
      <c r="D34">
        <v>0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Q34">
        <v>661</v>
      </c>
      <c r="R34">
        <v>0</v>
      </c>
      <c r="S34">
        <v>1</v>
      </c>
      <c r="T34">
        <v>3</v>
      </c>
      <c r="U34">
        <v>3</v>
      </c>
      <c r="Y34">
        <v>653</v>
      </c>
      <c r="Z34" t="s">
        <v>237</v>
      </c>
      <c r="AA34" t="s">
        <v>233</v>
      </c>
      <c r="AB34" t="s">
        <v>233</v>
      </c>
    </row>
    <row r="35" spans="1:28" x14ac:dyDescent="0.2">
      <c r="A35" t="s">
        <v>224</v>
      </c>
      <c r="B35">
        <v>763</v>
      </c>
      <c r="C35">
        <v>7649</v>
      </c>
      <c r="D35">
        <v>0</v>
      </c>
      <c r="E35">
        <v>0</v>
      </c>
      <c r="F35">
        <v>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Q35">
        <v>661</v>
      </c>
      <c r="R35">
        <v>0</v>
      </c>
      <c r="S35">
        <v>1</v>
      </c>
      <c r="Y35">
        <v>653</v>
      </c>
      <c r="Z35" t="s">
        <v>237</v>
      </c>
      <c r="AA35" t="s">
        <v>232</v>
      </c>
      <c r="AB35" t="s">
        <v>233</v>
      </c>
    </row>
    <row r="36" spans="1:28" x14ac:dyDescent="0.2">
      <c r="A36" t="s">
        <v>224</v>
      </c>
      <c r="B36">
        <v>770</v>
      </c>
      <c r="C36">
        <v>7687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Q36">
        <v>661</v>
      </c>
      <c r="R36">
        <v>0</v>
      </c>
      <c r="S36">
        <v>0</v>
      </c>
      <c r="Y36">
        <v>655</v>
      </c>
      <c r="Z36" t="s">
        <v>237</v>
      </c>
      <c r="AA36" t="s">
        <v>179</v>
      </c>
      <c r="AB36" t="s">
        <v>179</v>
      </c>
    </row>
    <row r="37" spans="1:28" x14ac:dyDescent="0.2">
      <c r="A37" t="s">
        <v>224</v>
      </c>
      <c r="B37">
        <v>668</v>
      </c>
      <c r="C37">
        <v>7711</v>
      </c>
      <c r="D37" t="s">
        <v>179</v>
      </c>
      <c r="E37" t="s">
        <v>179</v>
      </c>
      <c r="F37" t="s">
        <v>179</v>
      </c>
      <c r="G37" t="s">
        <v>179</v>
      </c>
      <c r="H37" t="s">
        <v>179</v>
      </c>
      <c r="I37" t="s">
        <v>179</v>
      </c>
      <c r="J37" t="s">
        <v>179</v>
      </c>
      <c r="K37" t="s">
        <v>179</v>
      </c>
      <c r="L37" t="s">
        <v>179</v>
      </c>
      <c r="M37" t="s">
        <v>179</v>
      </c>
      <c r="N37" t="s">
        <v>179</v>
      </c>
      <c r="Q37">
        <v>662</v>
      </c>
      <c r="R37">
        <v>0</v>
      </c>
      <c r="S37">
        <v>0</v>
      </c>
      <c r="T37">
        <v>2</v>
      </c>
      <c r="U37">
        <v>2</v>
      </c>
      <c r="Y37">
        <v>655</v>
      </c>
      <c r="Z37" t="s">
        <v>237</v>
      </c>
      <c r="AA37" t="s">
        <v>233</v>
      </c>
      <c r="AB37" t="s">
        <v>233</v>
      </c>
    </row>
    <row r="38" spans="1:28" x14ac:dyDescent="0.2">
      <c r="A38" t="s">
        <v>224</v>
      </c>
      <c r="B38">
        <v>655</v>
      </c>
      <c r="C38">
        <v>7714</v>
      </c>
      <c r="D38" t="s">
        <v>179</v>
      </c>
      <c r="E38" t="s">
        <v>179</v>
      </c>
      <c r="F38" t="s">
        <v>179</v>
      </c>
      <c r="G38" t="s">
        <v>179</v>
      </c>
      <c r="H38" t="s">
        <v>179</v>
      </c>
      <c r="I38" t="s">
        <v>179</v>
      </c>
      <c r="J38" t="s">
        <v>179</v>
      </c>
      <c r="K38" t="s">
        <v>179</v>
      </c>
      <c r="L38" t="s">
        <v>179</v>
      </c>
      <c r="M38" t="s">
        <v>179</v>
      </c>
      <c r="N38" t="s">
        <v>179</v>
      </c>
      <c r="Q38">
        <v>662</v>
      </c>
      <c r="R38">
        <v>0</v>
      </c>
      <c r="S38">
        <v>1</v>
      </c>
      <c r="Y38">
        <v>655</v>
      </c>
      <c r="Z38" t="s">
        <v>237</v>
      </c>
      <c r="AA38" t="s">
        <v>179</v>
      </c>
      <c r="AB38" t="s">
        <v>179</v>
      </c>
    </row>
    <row r="39" spans="1:28" x14ac:dyDescent="0.2">
      <c r="A39" t="s">
        <v>224</v>
      </c>
      <c r="B39">
        <v>918</v>
      </c>
      <c r="C39">
        <v>7771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Q39">
        <v>663</v>
      </c>
      <c r="R39">
        <v>0</v>
      </c>
      <c r="S39">
        <v>1</v>
      </c>
      <c r="T39">
        <v>3</v>
      </c>
      <c r="U39">
        <v>3</v>
      </c>
      <c r="Y39">
        <v>657</v>
      </c>
      <c r="Z39" t="s">
        <v>237</v>
      </c>
      <c r="AA39" t="s">
        <v>233</v>
      </c>
      <c r="AB39" t="s">
        <v>233</v>
      </c>
    </row>
    <row r="40" spans="1:28" x14ac:dyDescent="0.2">
      <c r="A40" t="s">
        <v>224</v>
      </c>
      <c r="B40">
        <v>661</v>
      </c>
      <c r="C40">
        <v>7773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Q40">
        <v>663</v>
      </c>
      <c r="R40">
        <v>0</v>
      </c>
      <c r="S40">
        <v>1</v>
      </c>
      <c r="Y40">
        <v>657</v>
      </c>
      <c r="Z40" t="s">
        <v>237</v>
      </c>
      <c r="AA40" t="s">
        <v>233</v>
      </c>
      <c r="AB40" t="s">
        <v>233</v>
      </c>
    </row>
    <row r="41" spans="1:28" x14ac:dyDescent="0.2">
      <c r="A41" t="s">
        <v>224</v>
      </c>
      <c r="B41">
        <v>580</v>
      </c>
      <c r="C41">
        <v>7812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Q41">
        <v>663</v>
      </c>
      <c r="R41">
        <v>0</v>
      </c>
      <c r="S41">
        <v>1</v>
      </c>
      <c r="Y41">
        <v>657</v>
      </c>
      <c r="Z41" t="s">
        <v>237</v>
      </c>
      <c r="AA41" t="s">
        <v>233</v>
      </c>
      <c r="AB41" t="s">
        <v>233</v>
      </c>
    </row>
    <row r="42" spans="1:28" x14ac:dyDescent="0.2">
      <c r="A42" t="s">
        <v>224</v>
      </c>
      <c r="B42">
        <v>667</v>
      </c>
      <c r="C42">
        <v>7813</v>
      </c>
      <c r="D42">
        <v>0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Q42">
        <v>664</v>
      </c>
      <c r="R42">
        <v>0</v>
      </c>
      <c r="S42">
        <v>1</v>
      </c>
      <c r="T42">
        <v>2</v>
      </c>
      <c r="U42">
        <v>2</v>
      </c>
      <c r="Y42">
        <v>658</v>
      </c>
      <c r="Z42" t="s">
        <v>237</v>
      </c>
      <c r="AA42" t="s">
        <v>179</v>
      </c>
      <c r="AB42" t="s">
        <v>179</v>
      </c>
    </row>
    <row r="43" spans="1:28" x14ac:dyDescent="0.2">
      <c r="A43" t="s">
        <v>224</v>
      </c>
      <c r="B43">
        <v>663</v>
      </c>
      <c r="C43">
        <v>7846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Q43">
        <v>664</v>
      </c>
      <c r="R43">
        <v>0</v>
      </c>
      <c r="S43">
        <v>1</v>
      </c>
      <c r="Y43">
        <v>658</v>
      </c>
      <c r="Z43" t="s">
        <v>237</v>
      </c>
      <c r="AA43" t="s">
        <v>232</v>
      </c>
      <c r="AB43" t="s">
        <v>232</v>
      </c>
    </row>
    <row r="44" spans="1:28" x14ac:dyDescent="0.2">
      <c r="A44" t="s">
        <v>224</v>
      </c>
      <c r="B44">
        <v>757</v>
      </c>
      <c r="C44">
        <v>7861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Q44">
        <v>665</v>
      </c>
      <c r="R44">
        <v>0</v>
      </c>
      <c r="S44">
        <v>1</v>
      </c>
      <c r="T44">
        <v>3</v>
      </c>
      <c r="U44">
        <v>3</v>
      </c>
      <c r="Y44">
        <v>658</v>
      </c>
      <c r="Z44" t="s">
        <v>237</v>
      </c>
      <c r="AA44" t="s">
        <v>233</v>
      </c>
      <c r="AB44" t="s">
        <v>233</v>
      </c>
    </row>
    <row r="45" spans="1:28" x14ac:dyDescent="0.2">
      <c r="A45" t="s">
        <v>224</v>
      </c>
      <c r="B45">
        <v>656</v>
      </c>
      <c r="C45">
        <v>7898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Q45">
        <v>665</v>
      </c>
      <c r="R45">
        <v>0</v>
      </c>
      <c r="S45">
        <v>1</v>
      </c>
      <c r="Y45">
        <v>659</v>
      </c>
      <c r="Z45" t="s">
        <v>237</v>
      </c>
      <c r="AA45" t="s">
        <v>232</v>
      </c>
      <c r="AB45" t="s">
        <v>232</v>
      </c>
    </row>
    <row r="46" spans="1:28" x14ac:dyDescent="0.2">
      <c r="A46" t="s">
        <v>224</v>
      </c>
      <c r="B46">
        <v>665</v>
      </c>
      <c r="C46">
        <v>7899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Q46">
        <v>665</v>
      </c>
      <c r="R46">
        <v>0</v>
      </c>
      <c r="S46">
        <v>1</v>
      </c>
      <c r="Y46">
        <v>659</v>
      </c>
      <c r="Z46" t="s">
        <v>237</v>
      </c>
      <c r="AA46" t="s">
        <v>233</v>
      </c>
      <c r="AB46" t="s">
        <v>233</v>
      </c>
    </row>
    <row r="47" spans="1:28" x14ac:dyDescent="0.2">
      <c r="A47" t="s">
        <v>224</v>
      </c>
      <c r="B47">
        <v>910</v>
      </c>
      <c r="C47">
        <v>7910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Q47">
        <v>666</v>
      </c>
      <c r="R47" t="s">
        <v>179</v>
      </c>
      <c r="S47" t="s">
        <v>179</v>
      </c>
      <c r="T47">
        <v>0</v>
      </c>
      <c r="U47">
        <v>0</v>
      </c>
      <c r="Y47">
        <v>659</v>
      </c>
      <c r="Z47" t="s">
        <v>237</v>
      </c>
      <c r="AA47" t="s">
        <v>233</v>
      </c>
      <c r="AB47" t="s">
        <v>233</v>
      </c>
    </row>
    <row r="48" spans="1:28" x14ac:dyDescent="0.2">
      <c r="A48" t="s">
        <v>224</v>
      </c>
      <c r="B48">
        <v>580</v>
      </c>
      <c r="C48">
        <v>7918</v>
      </c>
      <c r="D48">
        <v>0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Q48">
        <v>666</v>
      </c>
      <c r="R48" t="s">
        <v>179</v>
      </c>
      <c r="S48" t="s">
        <v>179</v>
      </c>
      <c r="Y48">
        <v>662</v>
      </c>
      <c r="Z48" t="s">
        <v>237</v>
      </c>
      <c r="AA48" t="s">
        <v>232</v>
      </c>
      <c r="AB48" t="s">
        <v>232</v>
      </c>
    </row>
    <row r="49" spans="1:28" x14ac:dyDescent="0.2">
      <c r="A49" t="s">
        <v>224</v>
      </c>
      <c r="B49">
        <v>909</v>
      </c>
      <c r="C49">
        <v>7922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Q49">
        <v>666</v>
      </c>
      <c r="R49" t="s">
        <v>179</v>
      </c>
      <c r="S49" t="s">
        <v>179</v>
      </c>
      <c r="Y49">
        <v>662</v>
      </c>
      <c r="Z49" t="s">
        <v>237</v>
      </c>
      <c r="AA49" t="s">
        <v>233</v>
      </c>
      <c r="AB49" t="s">
        <v>233</v>
      </c>
    </row>
    <row r="50" spans="1:28" x14ac:dyDescent="0.2">
      <c r="A50" t="s">
        <v>224</v>
      </c>
      <c r="B50">
        <v>765</v>
      </c>
      <c r="C50">
        <v>7923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Q50">
        <v>667</v>
      </c>
      <c r="R50">
        <v>0</v>
      </c>
      <c r="S50">
        <v>1</v>
      </c>
      <c r="Y50">
        <v>664</v>
      </c>
      <c r="Z50" t="s">
        <v>237</v>
      </c>
      <c r="AA50" t="s">
        <v>233</v>
      </c>
      <c r="AB50" t="s">
        <v>233</v>
      </c>
    </row>
    <row r="51" spans="1:28" x14ac:dyDescent="0.2">
      <c r="A51" t="s">
        <v>224</v>
      </c>
      <c r="B51">
        <v>773</v>
      </c>
      <c r="C51">
        <v>7972</v>
      </c>
      <c r="D51">
        <v>0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Q51">
        <v>667</v>
      </c>
      <c r="R51">
        <v>0</v>
      </c>
      <c r="S51">
        <v>0</v>
      </c>
      <c r="Y51">
        <v>664</v>
      </c>
      <c r="Z51" t="s">
        <v>237</v>
      </c>
      <c r="AA51" t="s">
        <v>233</v>
      </c>
      <c r="AB51" t="s">
        <v>233</v>
      </c>
    </row>
    <row r="52" spans="1:28" x14ac:dyDescent="0.2">
      <c r="A52" t="s">
        <v>224</v>
      </c>
      <c r="B52">
        <v>653</v>
      </c>
      <c r="C52">
        <v>7985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Q52">
        <v>667</v>
      </c>
      <c r="R52">
        <v>0</v>
      </c>
      <c r="S52">
        <v>0</v>
      </c>
      <c r="Y52">
        <v>665</v>
      </c>
      <c r="Z52" t="s">
        <v>237</v>
      </c>
      <c r="AA52" t="s">
        <v>233</v>
      </c>
      <c r="AB52" t="s">
        <v>233</v>
      </c>
    </row>
    <row r="53" spans="1:28" x14ac:dyDescent="0.2">
      <c r="A53" t="s">
        <v>224</v>
      </c>
      <c r="B53">
        <v>666</v>
      </c>
      <c r="C53">
        <v>7993</v>
      </c>
      <c r="D53" t="s">
        <v>179</v>
      </c>
      <c r="E53" t="s">
        <v>179</v>
      </c>
      <c r="F53" t="s">
        <v>179</v>
      </c>
      <c r="G53" t="s">
        <v>179</v>
      </c>
      <c r="H53" t="s">
        <v>179</v>
      </c>
      <c r="I53" t="s">
        <v>179</v>
      </c>
      <c r="J53" t="s">
        <v>179</v>
      </c>
      <c r="K53" t="s">
        <v>179</v>
      </c>
      <c r="L53" t="s">
        <v>179</v>
      </c>
      <c r="M53" t="s">
        <v>179</v>
      </c>
      <c r="N53" t="s">
        <v>179</v>
      </c>
      <c r="Q53">
        <v>668</v>
      </c>
      <c r="R53">
        <v>0</v>
      </c>
      <c r="S53">
        <v>0</v>
      </c>
      <c r="Y53">
        <v>665</v>
      </c>
      <c r="Z53" t="s">
        <v>237</v>
      </c>
      <c r="AA53" t="s">
        <v>233</v>
      </c>
      <c r="AB53" t="s">
        <v>233</v>
      </c>
    </row>
    <row r="54" spans="1:28" x14ac:dyDescent="0.2">
      <c r="A54" t="s">
        <v>224</v>
      </c>
      <c r="B54">
        <v>752</v>
      </c>
      <c r="C54">
        <v>7994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Q54">
        <v>668</v>
      </c>
      <c r="R54">
        <v>0</v>
      </c>
      <c r="S54" t="s">
        <v>179</v>
      </c>
      <c r="Y54">
        <v>665</v>
      </c>
      <c r="Z54" t="s">
        <v>237</v>
      </c>
      <c r="AA54" t="s">
        <v>233</v>
      </c>
      <c r="AB54" t="s">
        <v>233</v>
      </c>
    </row>
    <row r="55" spans="1:28" x14ac:dyDescent="0.2">
      <c r="A55" t="s">
        <v>224</v>
      </c>
      <c r="B55">
        <v>672</v>
      </c>
      <c r="C55">
        <v>8046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Q55">
        <v>668</v>
      </c>
      <c r="R55" t="s">
        <v>179</v>
      </c>
      <c r="S55">
        <v>1</v>
      </c>
      <c r="Y55">
        <v>666</v>
      </c>
      <c r="Z55" t="s">
        <v>237</v>
      </c>
      <c r="AA55" t="s">
        <v>179</v>
      </c>
      <c r="AB55" t="s">
        <v>179</v>
      </c>
    </row>
    <row r="56" spans="1:28" x14ac:dyDescent="0.2">
      <c r="A56" t="s">
        <v>224</v>
      </c>
      <c r="B56">
        <v>668</v>
      </c>
      <c r="C56">
        <v>8060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Q56">
        <v>668</v>
      </c>
      <c r="R56" t="s">
        <v>179</v>
      </c>
      <c r="S56" t="s">
        <v>179</v>
      </c>
      <c r="Y56">
        <v>666</v>
      </c>
      <c r="Z56" t="s">
        <v>237</v>
      </c>
      <c r="AA56" t="s">
        <v>179</v>
      </c>
      <c r="AB56" t="s">
        <v>179</v>
      </c>
    </row>
    <row r="57" spans="1:28" x14ac:dyDescent="0.2">
      <c r="A57" t="s">
        <v>224</v>
      </c>
      <c r="B57">
        <v>658</v>
      </c>
      <c r="C57">
        <v>8134</v>
      </c>
      <c r="D57" t="s">
        <v>179</v>
      </c>
      <c r="E57" t="s">
        <v>179</v>
      </c>
      <c r="F57" t="s">
        <v>179</v>
      </c>
      <c r="G57" t="s">
        <v>179</v>
      </c>
      <c r="H57" t="s">
        <v>179</v>
      </c>
      <c r="I57" t="s">
        <v>179</v>
      </c>
      <c r="J57" t="s">
        <v>179</v>
      </c>
      <c r="K57" t="s">
        <v>179</v>
      </c>
      <c r="L57" t="s">
        <v>179</v>
      </c>
      <c r="M57" t="s">
        <v>179</v>
      </c>
      <c r="N57" t="s">
        <v>179</v>
      </c>
      <c r="Q57">
        <v>668</v>
      </c>
      <c r="R57" t="s">
        <v>179</v>
      </c>
      <c r="S57" t="s">
        <v>179</v>
      </c>
      <c r="Y57">
        <v>666</v>
      </c>
      <c r="Z57" t="s">
        <v>237</v>
      </c>
      <c r="AA57" t="s">
        <v>179</v>
      </c>
      <c r="AB57" t="s">
        <v>179</v>
      </c>
    </row>
    <row r="58" spans="1:28" x14ac:dyDescent="0.2">
      <c r="A58" t="s">
        <v>224</v>
      </c>
      <c r="B58">
        <v>674</v>
      </c>
      <c r="C58">
        <v>8161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Q58">
        <v>669</v>
      </c>
      <c r="R58" t="s">
        <v>179</v>
      </c>
      <c r="S58" t="s">
        <v>179</v>
      </c>
      <c r="Y58">
        <v>667</v>
      </c>
      <c r="Z58" t="s">
        <v>237</v>
      </c>
      <c r="AA58" t="s">
        <v>233</v>
      </c>
      <c r="AB58" t="s">
        <v>233</v>
      </c>
    </row>
    <row r="59" spans="1:28" x14ac:dyDescent="0.2">
      <c r="A59" t="s">
        <v>224</v>
      </c>
      <c r="B59">
        <v>756</v>
      </c>
      <c r="C59">
        <v>8197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Q59">
        <v>669</v>
      </c>
      <c r="R59" t="s">
        <v>179</v>
      </c>
      <c r="S59" t="s">
        <v>179</v>
      </c>
      <c r="Y59">
        <v>667</v>
      </c>
      <c r="Z59" t="s">
        <v>237</v>
      </c>
      <c r="AA59" t="s">
        <v>232</v>
      </c>
      <c r="AB59" t="s">
        <v>232</v>
      </c>
    </row>
    <row r="60" spans="1:28" x14ac:dyDescent="0.2">
      <c r="A60" t="s">
        <v>224</v>
      </c>
      <c r="B60">
        <v>675</v>
      </c>
      <c r="C60">
        <v>8216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Q60">
        <v>669</v>
      </c>
      <c r="R60" t="s">
        <v>179</v>
      </c>
      <c r="S60" t="s">
        <v>179</v>
      </c>
      <c r="Y60">
        <v>667</v>
      </c>
      <c r="Z60" t="s">
        <v>237</v>
      </c>
      <c r="AA60" t="s">
        <v>232</v>
      </c>
      <c r="AB60" t="s">
        <v>232</v>
      </c>
    </row>
    <row r="61" spans="1:28" x14ac:dyDescent="0.2">
      <c r="A61" t="s">
        <v>224</v>
      </c>
      <c r="B61">
        <v>652</v>
      </c>
      <c r="C61">
        <v>8250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Q61">
        <v>670</v>
      </c>
      <c r="R61">
        <v>0</v>
      </c>
      <c r="S61">
        <v>1</v>
      </c>
      <c r="Y61">
        <v>668</v>
      </c>
      <c r="Z61" t="s">
        <v>237</v>
      </c>
      <c r="AA61" t="s">
        <v>232</v>
      </c>
      <c r="AB61" t="s">
        <v>232</v>
      </c>
    </row>
    <row r="62" spans="1:28" x14ac:dyDescent="0.2">
      <c r="A62" t="s">
        <v>224</v>
      </c>
      <c r="B62">
        <v>669</v>
      </c>
      <c r="C62">
        <v>8263</v>
      </c>
      <c r="D62" t="s">
        <v>179</v>
      </c>
      <c r="E62" t="s">
        <v>179</v>
      </c>
      <c r="F62" t="s">
        <v>179</v>
      </c>
      <c r="G62" t="s">
        <v>179</v>
      </c>
      <c r="H62" t="s">
        <v>179</v>
      </c>
      <c r="I62" t="s">
        <v>179</v>
      </c>
      <c r="J62" t="s">
        <v>179</v>
      </c>
      <c r="K62" t="s">
        <v>179</v>
      </c>
      <c r="L62" t="s">
        <v>179</v>
      </c>
      <c r="M62" t="s">
        <v>179</v>
      </c>
      <c r="N62" t="s">
        <v>179</v>
      </c>
      <c r="Q62">
        <v>670</v>
      </c>
      <c r="R62">
        <v>0</v>
      </c>
      <c r="S62">
        <v>1</v>
      </c>
      <c r="Y62">
        <v>668</v>
      </c>
      <c r="Z62" t="s">
        <v>237</v>
      </c>
      <c r="AA62" t="s">
        <v>179</v>
      </c>
      <c r="AB62" t="s">
        <v>179</v>
      </c>
    </row>
    <row r="63" spans="1:28" x14ac:dyDescent="0.2">
      <c r="A63" t="s">
        <v>224</v>
      </c>
      <c r="B63">
        <v>670</v>
      </c>
      <c r="C63">
        <v>8317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Q63">
        <v>670</v>
      </c>
      <c r="R63">
        <v>0</v>
      </c>
      <c r="S63">
        <v>1</v>
      </c>
      <c r="Y63">
        <v>668</v>
      </c>
      <c r="Z63" t="s">
        <v>237</v>
      </c>
      <c r="AA63" t="s">
        <v>233</v>
      </c>
      <c r="AB63" t="s">
        <v>233</v>
      </c>
    </row>
    <row r="64" spans="1:28" x14ac:dyDescent="0.2">
      <c r="A64" t="s">
        <v>224</v>
      </c>
      <c r="B64">
        <v>771</v>
      </c>
      <c r="C64">
        <v>8397</v>
      </c>
      <c r="D64">
        <v>0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Q64">
        <v>671</v>
      </c>
      <c r="R64" t="s">
        <v>179</v>
      </c>
      <c r="S64" t="s">
        <v>179</v>
      </c>
      <c r="Y64">
        <v>668</v>
      </c>
      <c r="Z64" t="s">
        <v>237</v>
      </c>
      <c r="AA64" t="s">
        <v>179</v>
      </c>
      <c r="AB64" t="s">
        <v>179</v>
      </c>
    </row>
    <row r="65" spans="1:28" x14ac:dyDescent="0.2">
      <c r="A65" t="s">
        <v>224</v>
      </c>
      <c r="B65">
        <v>656</v>
      </c>
      <c r="C65">
        <v>8410</v>
      </c>
      <c r="D65">
        <v>0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Q65">
        <v>671</v>
      </c>
      <c r="R65" t="s">
        <v>179</v>
      </c>
      <c r="S65" t="s">
        <v>179</v>
      </c>
      <c r="Y65">
        <v>668</v>
      </c>
      <c r="Z65" t="s">
        <v>237</v>
      </c>
      <c r="AA65" t="s">
        <v>179</v>
      </c>
      <c r="AB65" t="s">
        <v>179</v>
      </c>
    </row>
    <row r="66" spans="1:28" x14ac:dyDescent="0.2">
      <c r="A66" t="s">
        <v>224</v>
      </c>
      <c r="B66">
        <v>768</v>
      </c>
      <c r="C66">
        <v>8473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Q66">
        <v>671</v>
      </c>
      <c r="R66" t="s">
        <v>179</v>
      </c>
      <c r="S66" t="s">
        <v>179</v>
      </c>
      <c r="Y66">
        <v>669</v>
      </c>
      <c r="Z66" t="s">
        <v>237</v>
      </c>
      <c r="AA66" t="s">
        <v>179</v>
      </c>
      <c r="AB66" t="s">
        <v>179</v>
      </c>
    </row>
    <row r="67" spans="1:28" x14ac:dyDescent="0.2">
      <c r="A67" t="s">
        <v>224</v>
      </c>
      <c r="B67">
        <v>659</v>
      </c>
      <c r="C67">
        <v>8478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Q67">
        <v>672</v>
      </c>
      <c r="R67">
        <v>0</v>
      </c>
      <c r="S67">
        <v>1</v>
      </c>
      <c r="Y67">
        <v>669</v>
      </c>
      <c r="Z67" t="s">
        <v>237</v>
      </c>
      <c r="AA67" t="s">
        <v>179</v>
      </c>
      <c r="AB67" t="s">
        <v>179</v>
      </c>
    </row>
    <row r="68" spans="1:28" x14ac:dyDescent="0.2">
      <c r="A68" t="s">
        <v>224</v>
      </c>
      <c r="B68">
        <v>652</v>
      </c>
      <c r="C68" t="s">
        <v>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Q68">
        <v>672</v>
      </c>
      <c r="R68">
        <v>0</v>
      </c>
      <c r="S68">
        <v>1</v>
      </c>
      <c r="Y68">
        <v>669</v>
      </c>
      <c r="Z68" t="s">
        <v>237</v>
      </c>
      <c r="AA68" t="s">
        <v>179</v>
      </c>
      <c r="AB68" t="s">
        <v>179</v>
      </c>
    </row>
    <row r="69" spans="1:28" x14ac:dyDescent="0.2">
      <c r="A69" t="s">
        <v>224</v>
      </c>
      <c r="B69">
        <v>652</v>
      </c>
      <c r="C69" t="s">
        <v>133</v>
      </c>
      <c r="D69" t="s">
        <v>179</v>
      </c>
      <c r="E69" t="s">
        <v>179</v>
      </c>
      <c r="F69" t="s">
        <v>179</v>
      </c>
      <c r="G69" t="s">
        <v>179</v>
      </c>
      <c r="H69" t="s">
        <v>179</v>
      </c>
      <c r="I69" t="s">
        <v>179</v>
      </c>
      <c r="J69" t="s">
        <v>179</v>
      </c>
      <c r="K69" t="s">
        <v>179</v>
      </c>
      <c r="L69" t="s">
        <v>179</v>
      </c>
      <c r="M69" t="s">
        <v>179</v>
      </c>
      <c r="N69" t="s">
        <v>179</v>
      </c>
      <c r="Q69">
        <v>673</v>
      </c>
      <c r="R69">
        <v>0</v>
      </c>
      <c r="S69">
        <v>0</v>
      </c>
      <c r="Y69">
        <v>670</v>
      </c>
      <c r="Z69" t="s">
        <v>237</v>
      </c>
      <c r="AA69" t="s">
        <v>233</v>
      </c>
      <c r="AB69" t="s">
        <v>233</v>
      </c>
    </row>
    <row r="70" spans="1:28" x14ac:dyDescent="0.2">
      <c r="A70" t="s">
        <v>224</v>
      </c>
      <c r="B70">
        <v>653</v>
      </c>
      <c r="C70" t="s">
        <v>28</v>
      </c>
      <c r="D70">
        <v>0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Q70">
        <v>673</v>
      </c>
      <c r="R70">
        <v>0</v>
      </c>
      <c r="S70">
        <v>0</v>
      </c>
      <c r="Y70">
        <v>670</v>
      </c>
      <c r="Z70" t="s">
        <v>237</v>
      </c>
      <c r="AA70" t="s">
        <v>233</v>
      </c>
      <c r="AB70" t="s">
        <v>233</v>
      </c>
    </row>
    <row r="71" spans="1:28" x14ac:dyDescent="0.2">
      <c r="A71" t="s">
        <v>224</v>
      </c>
      <c r="B71">
        <v>653</v>
      </c>
      <c r="C71" t="s">
        <v>125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Q71">
        <v>673</v>
      </c>
      <c r="R71">
        <v>0</v>
      </c>
      <c r="S71">
        <v>0</v>
      </c>
      <c r="Y71">
        <v>670</v>
      </c>
      <c r="Z71" t="s">
        <v>237</v>
      </c>
      <c r="AA71" t="s">
        <v>233</v>
      </c>
      <c r="AB71" t="s">
        <v>233</v>
      </c>
    </row>
    <row r="72" spans="1:28" x14ac:dyDescent="0.2">
      <c r="A72" t="s">
        <v>224</v>
      </c>
      <c r="B72">
        <v>654</v>
      </c>
      <c r="C72" t="s">
        <v>52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Q72">
        <v>674</v>
      </c>
      <c r="R72">
        <v>0</v>
      </c>
      <c r="S72">
        <v>1</v>
      </c>
      <c r="Y72">
        <v>671</v>
      </c>
      <c r="Z72" t="s">
        <v>237</v>
      </c>
      <c r="AA72" t="s">
        <v>179</v>
      </c>
      <c r="AB72" t="s">
        <v>179</v>
      </c>
    </row>
    <row r="73" spans="1:28" x14ac:dyDescent="0.2">
      <c r="A73" t="s">
        <v>224</v>
      </c>
      <c r="B73">
        <v>654</v>
      </c>
      <c r="C73" t="s">
        <v>130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Q73">
        <v>674</v>
      </c>
      <c r="R73">
        <v>0</v>
      </c>
      <c r="S73">
        <v>1</v>
      </c>
      <c r="Y73">
        <v>671</v>
      </c>
      <c r="Z73" t="s">
        <v>237</v>
      </c>
      <c r="AA73" t="s">
        <v>179</v>
      </c>
      <c r="AB73" t="s">
        <v>179</v>
      </c>
    </row>
    <row r="74" spans="1:28" x14ac:dyDescent="0.2">
      <c r="A74" t="s">
        <v>224</v>
      </c>
      <c r="B74">
        <v>655</v>
      </c>
      <c r="C74" t="s">
        <v>22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Q74">
        <v>674</v>
      </c>
      <c r="R74">
        <v>0</v>
      </c>
      <c r="S74">
        <v>1</v>
      </c>
      <c r="Y74">
        <v>671</v>
      </c>
      <c r="Z74" t="s">
        <v>237</v>
      </c>
      <c r="AA74" t="s">
        <v>179</v>
      </c>
      <c r="AB74" t="s">
        <v>179</v>
      </c>
    </row>
    <row r="75" spans="1:28" x14ac:dyDescent="0.2">
      <c r="A75" t="s">
        <v>224</v>
      </c>
      <c r="B75">
        <v>655</v>
      </c>
      <c r="C75" t="s">
        <v>137</v>
      </c>
      <c r="D75" t="s">
        <v>179</v>
      </c>
      <c r="E75" t="s">
        <v>179</v>
      </c>
      <c r="F75" t="s">
        <v>179</v>
      </c>
      <c r="G75" t="s">
        <v>179</v>
      </c>
      <c r="H75" t="s">
        <v>179</v>
      </c>
      <c r="I75" t="s">
        <v>179</v>
      </c>
      <c r="J75" t="s">
        <v>179</v>
      </c>
      <c r="K75" t="s">
        <v>179</v>
      </c>
      <c r="L75" t="s">
        <v>179</v>
      </c>
      <c r="M75" t="s">
        <v>179</v>
      </c>
      <c r="N75" t="s">
        <v>179</v>
      </c>
      <c r="Q75">
        <v>675</v>
      </c>
      <c r="R75">
        <v>0</v>
      </c>
      <c r="S75">
        <v>1</v>
      </c>
      <c r="Y75">
        <v>672</v>
      </c>
      <c r="Z75" t="s">
        <v>237</v>
      </c>
      <c r="AA75" t="s">
        <v>233</v>
      </c>
      <c r="AB75" t="s">
        <v>233</v>
      </c>
    </row>
    <row r="76" spans="1:28" x14ac:dyDescent="0.2">
      <c r="A76" t="s">
        <v>224</v>
      </c>
      <c r="B76">
        <v>656</v>
      </c>
      <c r="C76" t="s">
        <v>24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Q76">
        <v>675</v>
      </c>
      <c r="R76">
        <v>0</v>
      </c>
      <c r="S76">
        <v>1</v>
      </c>
      <c r="Y76">
        <v>672</v>
      </c>
      <c r="Z76" t="s">
        <v>237</v>
      </c>
      <c r="AA76" t="s">
        <v>233</v>
      </c>
      <c r="AB76" t="s">
        <v>233</v>
      </c>
    </row>
    <row r="77" spans="1:28" x14ac:dyDescent="0.2">
      <c r="A77" t="s">
        <v>224</v>
      </c>
      <c r="B77">
        <v>656</v>
      </c>
      <c r="C77" t="s">
        <v>168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Q77">
        <v>675</v>
      </c>
      <c r="R77">
        <v>0</v>
      </c>
      <c r="S77">
        <v>1</v>
      </c>
      <c r="Y77">
        <v>674</v>
      </c>
      <c r="Z77" t="s">
        <v>237</v>
      </c>
      <c r="AA77" t="s">
        <v>233</v>
      </c>
      <c r="AB77" t="s">
        <v>233</v>
      </c>
    </row>
    <row r="78" spans="1:28" x14ac:dyDescent="0.2">
      <c r="A78" t="s">
        <v>224</v>
      </c>
      <c r="B78">
        <v>657</v>
      </c>
      <c r="C78" t="s">
        <v>12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Q78">
        <v>751</v>
      </c>
      <c r="R78">
        <v>0</v>
      </c>
      <c r="S78">
        <v>1</v>
      </c>
      <c r="Y78">
        <v>674</v>
      </c>
      <c r="Z78" t="s">
        <v>237</v>
      </c>
      <c r="AA78" t="s">
        <v>233</v>
      </c>
      <c r="AB78" t="s">
        <v>233</v>
      </c>
    </row>
    <row r="79" spans="1:28" x14ac:dyDescent="0.2">
      <c r="A79" t="s">
        <v>224</v>
      </c>
      <c r="B79">
        <v>657</v>
      </c>
      <c r="C79" t="s">
        <v>156</v>
      </c>
      <c r="D79">
        <v>0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Q79">
        <v>751</v>
      </c>
      <c r="R79">
        <v>0</v>
      </c>
      <c r="S79" t="s">
        <v>179</v>
      </c>
      <c r="Y79">
        <v>674</v>
      </c>
      <c r="Z79" t="s">
        <v>237</v>
      </c>
      <c r="AA79" t="s">
        <v>233</v>
      </c>
      <c r="AB79" t="s">
        <v>233</v>
      </c>
    </row>
    <row r="80" spans="1:28" x14ac:dyDescent="0.2">
      <c r="A80" t="s">
        <v>224</v>
      </c>
      <c r="B80">
        <v>658</v>
      </c>
      <c r="C80" t="s">
        <v>13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Q80">
        <v>751</v>
      </c>
      <c r="R80" t="s">
        <v>179</v>
      </c>
      <c r="S80">
        <v>1</v>
      </c>
      <c r="Y80">
        <v>675</v>
      </c>
      <c r="Z80" t="s">
        <v>237</v>
      </c>
      <c r="AA80" t="s">
        <v>233</v>
      </c>
      <c r="AB80" t="s">
        <v>233</v>
      </c>
    </row>
    <row r="81" spans="1:28" x14ac:dyDescent="0.2">
      <c r="A81" t="s">
        <v>224</v>
      </c>
      <c r="B81">
        <v>658</v>
      </c>
      <c r="C81" t="s">
        <v>157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Q81">
        <v>752</v>
      </c>
      <c r="R81">
        <v>0</v>
      </c>
      <c r="S81">
        <v>1</v>
      </c>
      <c r="Y81">
        <v>675</v>
      </c>
      <c r="Z81" t="s">
        <v>237</v>
      </c>
      <c r="AA81" t="s">
        <v>233</v>
      </c>
      <c r="AB81" t="s">
        <v>233</v>
      </c>
    </row>
    <row r="82" spans="1:28" x14ac:dyDescent="0.2">
      <c r="A82" t="s">
        <v>224</v>
      </c>
      <c r="B82">
        <v>659</v>
      </c>
      <c r="C82" t="s">
        <v>36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Q82">
        <v>752</v>
      </c>
      <c r="R82">
        <v>0</v>
      </c>
      <c r="S82">
        <v>1</v>
      </c>
      <c r="Y82">
        <v>675</v>
      </c>
      <c r="Z82" t="s">
        <v>237</v>
      </c>
      <c r="AA82" t="s">
        <v>233</v>
      </c>
      <c r="AB82" t="s">
        <v>233</v>
      </c>
    </row>
    <row r="83" spans="1:28" x14ac:dyDescent="0.2">
      <c r="A83" t="s">
        <v>224</v>
      </c>
      <c r="B83">
        <v>659</v>
      </c>
      <c r="C83" t="s">
        <v>121</v>
      </c>
      <c r="D83">
        <v>0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Q83">
        <v>752</v>
      </c>
      <c r="R83">
        <v>0</v>
      </c>
      <c r="S83">
        <v>1</v>
      </c>
      <c r="Y83">
        <v>751</v>
      </c>
      <c r="Z83" t="s">
        <v>237</v>
      </c>
      <c r="AA83" t="s">
        <v>233</v>
      </c>
      <c r="AB83" t="s">
        <v>233</v>
      </c>
    </row>
    <row r="84" spans="1:28" x14ac:dyDescent="0.2">
      <c r="A84" t="s">
        <v>224</v>
      </c>
      <c r="B84">
        <v>660</v>
      </c>
      <c r="C84" t="s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Q84">
        <v>753</v>
      </c>
      <c r="R84">
        <v>0</v>
      </c>
      <c r="S84">
        <v>1</v>
      </c>
      <c r="Y84">
        <v>751</v>
      </c>
      <c r="Z84" t="s">
        <v>237</v>
      </c>
      <c r="AA84" t="s">
        <v>179</v>
      </c>
      <c r="AB84" t="s">
        <v>179</v>
      </c>
    </row>
    <row r="85" spans="1:28" x14ac:dyDescent="0.2">
      <c r="A85" t="s">
        <v>224</v>
      </c>
      <c r="B85">
        <v>660</v>
      </c>
      <c r="C85" t="s">
        <v>164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Q85">
        <v>753</v>
      </c>
      <c r="R85">
        <v>0</v>
      </c>
      <c r="S85">
        <v>0</v>
      </c>
      <c r="Y85">
        <v>751</v>
      </c>
      <c r="Z85" t="s">
        <v>237</v>
      </c>
      <c r="AA85" t="s">
        <v>233</v>
      </c>
      <c r="AB85" t="s">
        <v>233</v>
      </c>
    </row>
    <row r="86" spans="1:28" x14ac:dyDescent="0.2">
      <c r="A86" t="s">
        <v>224</v>
      </c>
      <c r="B86">
        <v>661</v>
      </c>
      <c r="C86" t="s">
        <v>53</v>
      </c>
      <c r="D86">
        <v>0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Q86">
        <v>754</v>
      </c>
      <c r="R86">
        <v>0</v>
      </c>
      <c r="S86">
        <v>0</v>
      </c>
      <c r="Y86">
        <v>756</v>
      </c>
      <c r="Z86" t="s">
        <v>237</v>
      </c>
      <c r="AA86" t="s">
        <v>232</v>
      </c>
      <c r="AB86" t="s">
        <v>232</v>
      </c>
    </row>
    <row r="87" spans="1:28" x14ac:dyDescent="0.2">
      <c r="A87" t="s">
        <v>224</v>
      </c>
      <c r="B87">
        <v>661</v>
      </c>
      <c r="C87" t="s">
        <v>124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Q87">
        <v>754</v>
      </c>
      <c r="R87">
        <v>0</v>
      </c>
      <c r="S87">
        <v>1</v>
      </c>
      <c r="Y87">
        <v>756</v>
      </c>
      <c r="Z87" t="s">
        <v>237</v>
      </c>
      <c r="AA87" t="s">
        <v>232</v>
      </c>
      <c r="AB87" t="s">
        <v>232</v>
      </c>
    </row>
    <row r="88" spans="1:28" x14ac:dyDescent="0.2">
      <c r="A88" t="s">
        <v>224</v>
      </c>
      <c r="B88">
        <v>662</v>
      </c>
      <c r="C88" t="s">
        <v>21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Q88">
        <v>754</v>
      </c>
      <c r="R88">
        <v>0</v>
      </c>
      <c r="S88">
        <v>1</v>
      </c>
      <c r="Y88">
        <v>756</v>
      </c>
      <c r="Z88" t="s">
        <v>237</v>
      </c>
      <c r="AA88" t="s">
        <v>232</v>
      </c>
      <c r="AB88" t="s">
        <v>232</v>
      </c>
    </row>
    <row r="89" spans="1:28" x14ac:dyDescent="0.2">
      <c r="A89" t="s">
        <v>224</v>
      </c>
      <c r="B89">
        <v>662</v>
      </c>
      <c r="C89" t="s">
        <v>138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Q89">
        <v>755</v>
      </c>
      <c r="R89">
        <v>0</v>
      </c>
      <c r="S89">
        <v>1</v>
      </c>
      <c r="Y89">
        <v>757</v>
      </c>
      <c r="Z89" t="s">
        <v>237</v>
      </c>
      <c r="AA89" t="s">
        <v>233</v>
      </c>
      <c r="AB89" t="s">
        <v>233</v>
      </c>
    </row>
    <row r="90" spans="1:28" x14ac:dyDescent="0.2">
      <c r="A90" t="s">
        <v>224</v>
      </c>
      <c r="B90">
        <v>663</v>
      </c>
      <c r="C90" t="s">
        <v>37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Q90">
        <v>755</v>
      </c>
      <c r="R90">
        <v>0</v>
      </c>
      <c r="S90">
        <v>0</v>
      </c>
      <c r="Y90">
        <v>757</v>
      </c>
      <c r="Z90" t="s">
        <v>237</v>
      </c>
      <c r="AA90" t="s">
        <v>233</v>
      </c>
      <c r="AB90" t="s">
        <v>233</v>
      </c>
    </row>
    <row r="91" spans="1:28" x14ac:dyDescent="0.2">
      <c r="A91" t="s">
        <v>224</v>
      </c>
      <c r="B91">
        <v>663</v>
      </c>
      <c r="C91" t="s">
        <v>155</v>
      </c>
      <c r="D91">
        <v>0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Q91">
        <v>755</v>
      </c>
      <c r="R91">
        <v>0</v>
      </c>
      <c r="S91">
        <v>0</v>
      </c>
      <c r="Y91">
        <v>757</v>
      </c>
      <c r="Z91" t="s">
        <v>237</v>
      </c>
      <c r="AA91" t="s">
        <v>233</v>
      </c>
      <c r="AB91" t="s">
        <v>233</v>
      </c>
    </row>
    <row r="92" spans="1:28" x14ac:dyDescent="0.2">
      <c r="A92" t="s">
        <v>224</v>
      </c>
      <c r="B92">
        <v>664</v>
      </c>
      <c r="C92" t="s">
        <v>40</v>
      </c>
      <c r="D92">
        <v>0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Q92">
        <v>756</v>
      </c>
      <c r="R92">
        <v>0</v>
      </c>
      <c r="S92">
        <v>0</v>
      </c>
      <c r="Y92">
        <v>758</v>
      </c>
      <c r="Z92" t="s">
        <v>237</v>
      </c>
      <c r="AA92" t="s">
        <v>179</v>
      </c>
      <c r="AB92" t="s">
        <v>179</v>
      </c>
    </row>
    <row r="93" spans="1:28" x14ac:dyDescent="0.2">
      <c r="A93" t="s">
        <v>224</v>
      </c>
      <c r="B93">
        <v>664</v>
      </c>
      <c r="C93" t="s">
        <v>118</v>
      </c>
      <c r="D93">
        <v>0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Q93">
        <v>756</v>
      </c>
      <c r="R93">
        <v>0</v>
      </c>
      <c r="S93">
        <v>0</v>
      </c>
      <c r="Y93">
        <v>758</v>
      </c>
      <c r="Z93" t="s">
        <v>237</v>
      </c>
      <c r="AA93" t="s">
        <v>179</v>
      </c>
      <c r="AB93" t="s">
        <v>179</v>
      </c>
    </row>
    <row r="94" spans="1:28" x14ac:dyDescent="0.2">
      <c r="A94" t="s">
        <v>224</v>
      </c>
      <c r="B94">
        <v>665</v>
      </c>
      <c r="C94" t="s">
        <v>54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Q94">
        <v>756</v>
      </c>
      <c r="R94">
        <v>0</v>
      </c>
      <c r="S94">
        <v>0</v>
      </c>
      <c r="Y94">
        <v>758</v>
      </c>
      <c r="Z94" t="s">
        <v>237</v>
      </c>
      <c r="AA94" t="s">
        <v>233</v>
      </c>
      <c r="AB94" t="s">
        <v>233</v>
      </c>
    </row>
    <row r="95" spans="1:28" x14ac:dyDescent="0.2">
      <c r="A95" t="s">
        <v>224</v>
      </c>
      <c r="B95">
        <v>665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Q95">
        <v>757</v>
      </c>
      <c r="R95">
        <v>0</v>
      </c>
      <c r="S95">
        <v>1</v>
      </c>
      <c r="Y95">
        <v>759</v>
      </c>
      <c r="Z95" t="s">
        <v>237</v>
      </c>
      <c r="AA95" t="s">
        <v>232</v>
      </c>
      <c r="AB95" t="s">
        <v>232</v>
      </c>
    </row>
    <row r="96" spans="1:28" x14ac:dyDescent="0.2">
      <c r="A96" t="s">
        <v>224</v>
      </c>
      <c r="B96">
        <v>666</v>
      </c>
      <c r="C96" t="s">
        <v>45</v>
      </c>
      <c r="D96" t="s">
        <v>179</v>
      </c>
      <c r="E96" t="s">
        <v>179</v>
      </c>
      <c r="F96" t="s">
        <v>179</v>
      </c>
      <c r="G96" t="s">
        <v>179</v>
      </c>
      <c r="H96" t="s">
        <v>179</v>
      </c>
      <c r="I96" t="s">
        <v>179</v>
      </c>
      <c r="J96" t="s">
        <v>179</v>
      </c>
      <c r="K96" t="s">
        <v>179</v>
      </c>
      <c r="L96" t="s">
        <v>179</v>
      </c>
      <c r="M96" t="s">
        <v>179</v>
      </c>
      <c r="N96" t="s">
        <v>179</v>
      </c>
      <c r="Q96">
        <v>757</v>
      </c>
      <c r="R96">
        <v>0</v>
      </c>
      <c r="S96">
        <v>1</v>
      </c>
      <c r="Y96">
        <v>759</v>
      </c>
      <c r="Z96" t="s">
        <v>237</v>
      </c>
      <c r="AA96" t="s">
        <v>232</v>
      </c>
      <c r="AB96" t="s">
        <v>232</v>
      </c>
    </row>
    <row r="97" spans="1:28" x14ac:dyDescent="0.2">
      <c r="A97" t="s">
        <v>224</v>
      </c>
      <c r="B97">
        <v>666</v>
      </c>
      <c r="C97" t="s">
        <v>127</v>
      </c>
      <c r="D97" t="s">
        <v>179</v>
      </c>
      <c r="E97" t="s">
        <v>179</v>
      </c>
      <c r="F97" t="s">
        <v>179</v>
      </c>
      <c r="G97" t="s">
        <v>179</v>
      </c>
      <c r="H97" t="s">
        <v>179</v>
      </c>
      <c r="I97" t="s">
        <v>179</v>
      </c>
      <c r="J97" t="s">
        <v>179</v>
      </c>
      <c r="K97" t="s">
        <v>179</v>
      </c>
      <c r="L97" t="s">
        <v>179</v>
      </c>
      <c r="M97" t="s">
        <v>179</v>
      </c>
      <c r="N97" t="s">
        <v>179</v>
      </c>
      <c r="Q97">
        <v>757</v>
      </c>
      <c r="R97">
        <v>0</v>
      </c>
      <c r="S97">
        <v>1</v>
      </c>
      <c r="Y97">
        <v>759</v>
      </c>
      <c r="Z97" t="s">
        <v>237</v>
      </c>
      <c r="AA97" t="s">
        <v>233</v>
      </c>
      <c r="AB97" t="s">
        <v>233</v>
      </c>
    </row>
    <row r="98" spans="1:28" x14ac:dyDescent="0.2">
      <c r="A98" t="s">
        <v>224</v>
      </c>
      <c r="B98">
        <v>667</v>
      </c>
      <c r="C98" t="s">
        <v>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Q98">
        <v>758</v>
      </c>
      <c r="R98">
        <v>0</v>
      </c>
      <c r="S98" t="s">
        <v>179</v>
      </c>
      <c r="Y98">
        <v>760</v>
      </c>
      <c r="Z98" t="s">
        <v>237</v>
      </c>
      <c r="AA98" t="s">
        <v>232</v>
      </c>
      <c r="AB98" t="s">
        <v>232</v>
      </c>
    </row>
    <row r="99" spans="1:28" x14ac:dyDescent="0.2">
      <c r="A99" t="s">
        <v>224</v>
      </c>
      <c r="B99">
        <v>667</v>
      </c>
      <c r="C99" t="s">
        <v>135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Q99">
        <v>758</v>
      </c>
      <c r="R99" t="s">
        <v>179</v>
      </c>
      <c r="S99" t="s">
        <v>179</v>
      </c>
      <c r="Y99">
        <v>760</v>
      </c>
      <c r="Z99" t="s">
        <v>237</v>
      </c>
      <c r="AA99" t="s">
        <v>232</v>
      </c>
      <c r="AB99" t="s">
        <v>232</v>
      </c>
    </row>
    <row r="100" spans="1:28" x14ac:dyDescent="0.2">
      <c r="A100" t="s">
        <v>224</v>
      </c>
      <c r="B100">
        <v>668</v>
      </c>
      <c r="C100" t="s">
        <v>39</v>
      </c>
      <c r="D100" t="s">
        <v>179</v>
      </c>
      <c r="E100" t="s">
        <v>179</v>
      </c>
      <c r="F100" t="s">
        <v>179</v>
      </c>
      <c r="G100" t="s">
        <v>179</v>
      </c>
      <c r="H100" t="s">
        <v>179</v>
      </c>
      <c r="I100" t="s">
        <v>179</v>
      </c>
      <c r="J100" t="s">
        <v>179</v>
      </c>
      <c r="K100" t="s">
        <v>179</v>
      </c>
      <c r="L100" t="s">
        <v>179</v>
      </c>
      <c r="M100" t="s">
        <v>179</v>
      </c>
      <c r="N100" t="s">
        <v>179</v>
      </c>
      <c r="Q100">
        <v>758</v>
      </c>
      <c r="R100" t="s">
        <v>179</v>
      </c>
      <c r="S100">
        <v>1</v>
      </c>
      <c r="Y100">
        <v>760</v>
      </c>
      <c r="Z100" t="s">
        <v>237</v>
      </c>
      <c r="AA100" t="s">
        <v>233</v>
      </c>
      <c r="AB100" t="s">
        <v>233</v>
      </c>
    </row>
    <row r="101" spans="1:28" x14ac:dyDescent="0.2">
      <c r="A101" t="s">
        <v>224</v>
      </c>
      <c r="B101">
        <v>668</v>
      </c>
      <c r="C101" t="s">
        <v>122</v>
      </c>
      <c r="D101" t="s">
        <v>179</v>
      </c>
      <c r="E101" t="s">
        <v>179</v>
      </c>
      <c r="F101" t="s">
        <v>179</v>
      </c>
      <c r="G101" t="s">
        <v>179</v>
      </c>
      <c r="H101" t="s">
        <v>179</v>
      </c>
      <c r="I101" t="s">
        <v>179</v>
      </c>
      <c r="J101" t="s">
        <v>179</v>
      </c>
      <c r="K101" t="s">
        <v>179</v>
      </c>
      <c r="L101" t="s">
        <v>179</v>
      </c>
      <c r="M101" t="s">
        <v>179</v>
      </c>
      <c r="N101" t="s">
        <v>179</v>
      </c>
      <c r="Q101">
        <v>759</v>
      </c>
      <c r="R101">
        <v>0</v>
      </c>
      <c r="S101">
        <v>0</v>
      </c>
      <c r="Y101">
        <v>761</v>
      </c>
      <c r="Z101" t="s">
        <v>237</v>
      </c>
      <c r="AA101" t="s">
        <v>233</v>
      </c>
      <c r="AB101" t="s">
        <v>233</v>
      </c>
    </row>
    <row r="102" spans="1:28" x14ac:dyDescent="0.2">
      <c r="A102" t="s">
        <v>224</v>
      </c>
      <c r="B102">
        <v>669</v>
      </c>
      <c r="C102" t="s">
        <v>46</v>
      </c>
      <c r="D102" t="s">
        <v>179</v>
      </c>
      <c r="E102" t="s">
        <v>179</v>
      </c>
      <c r="F102" t="s">
        <v>179</v>
      </c>
      <c r="G102" t="s">
        <v>179</v>
      </c>
      <c r="H102" t="s">
        <v>179</v>
      </c>
      <c r="I102" t="s">
        <v>179</v>
      </c>
      <c r="J102" t="s">
        <v>179</v>
      </c>
      <c r="K102" t="s">
        <v>179</v>
      </c>
      <c r="L102" t="s">
        <v>179</v>
      </c>
      <c r="M102" t="s">
        <v>179</v>
      </c>
      <c r="N102" t="s">
        <v>179</v>
      </c>
      <c r="Q102">
        <v>759</v>
      </c>
      <c r="R102">
        <v>0</v>
      </c>
      <c r="S102">
        <v>0</v>
      </c>
      <c r="Y102">
        <v>761</v>
      </c>
      <c r="Z102" t="s">
        <v>237</v>
      </c>
      <c r="AA102" t="s">
        <v>232</v>
      </c>
      <c r="AB102" t="s">
        <v>233</v>
      </c>
    </row>
    <row r="103" spans="1:28" x14ac:dyDescent="0.2">
      <c r="A103" t="s">
        <v>224</v>
      </c>
      <c r="B103">
        <v>669</v>
      </c>
      <c r="C103" t="s">
        <v>132</v>
      </c>
      <c r="D103" t="s">
        <v>179</v>
      </c>
      <c r="E103" t="s">
        <v>179</v>
      </c>
      <c r="F103" t="s">
        <v>179</v>
      </c>
      <c r="G103" t="s">
        <v>179</v>
      </c>
      <c r="H103" t="s">
        <v>179</v>
      </c>
      <c r="I103" t="s">
        <v>179</v>
      </c>
      <c r="J103" t="s">
        <v>179</v>
      </c>
      <c r="K103" t="s">
        <v>179</v>
      </c>
      <c r="L103" t="s">
        <v>179</v>
      </c>
      <c r="M103" t="s">
        <v>179</v>
      </c>
      <c r="N103" t="s">
        <v>179</v>
      </c>
      <c r="Q103">
        <v>759</v>
      </c>
      <c r="R103">
        <v>0</v>
      </c>
      <c r="S103">
        <v>1</v>
      </c>
      <c r="Y103">
        <v>761</v>
      </c>
      <c r="Z103" t="s">
        <v>237</v>
      </c>
      <c r="AA103" t="s">
        <v>232</v>
      </c>
      <c r="AB103" t="s">
        <v>233</v>
      </c>
    </row>
    <row r="104" spans="1:28" x14ac:dyDescent="0.2">
      <c r="A104" t="s">
        <v>224</v>
      </c>
      <c r="B104">
        <v>670</v>
      </c>
      <c r="C104" t="s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Q104">
        <v>760</v>
      </c>
      <c r="R104">
        <v>0</v>
      </c>
      <c r="S104">
        <v>0</v>
      </c>
      <c r="Y104">
        <v>762</v>
      </c>
      <c r="Z104" t="s">
        <v>237</v>
      </c>
      <c r="AA104" t="s">
        <v>232</v>
      </c>
      <c r="AB104" t="s">
        <v>232</v>
      </c>
    </row>
    <row r="105" spans="1:28" x14ac:dyDescent="0.2">
      <c r="A105" t="s">
        <v>224</v>
      </c>
      <c r="B105">
        <v>670</v>
      </c>
      <c r="C105" t="s">
        <v>148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Q105">
        <v>760</v>
      </c>
      <c r="R105">
        <v>0</v>
      </c>
      <c r="S105">
        <v>0</v>
      </c>
      <c r="Y105">
        <v>762</v>
      </c>
      <c r="Z105" t="s">
        <v>237</v>
      </c>
      <c r="AA105" t="s">
        <v>232</v>
      </c>
      <c r="AB105" t="s">
        <v>232</v>
      </c>
    </row>
    <row r="106" spans="1:28" x14ac:dyDescent="0.2">
      <c r="A106" t="s">
        <v>224</v>
      </c>
      <c r="B106">
        <v>671</v>
      </c>
      <c r="C106" t="s">
        <v>8</v>
      </c>
      <c r="D106" t="s">
        <v>179</v>
      </c>
      <c r="E106" t="s">
        <v>179</v>
      </c>
      <c r="F106" t="s">
        <v>179</v>
      </c>
      <c r="G106" t="s">
        <v>179</v>
      </c>
      <c r="H106" t="s">
        <v>179</v>
      </c>
      <c r="I106" t="s">
        <v>179</v>
      </c>
      <c r="J106" t="s">
        <v>179</v>
      </c>
      <c r="K106" t="s">
        <v>179</v>
      </c>
      <c r="L106" t="s">
        <v>179</v>
      </c>
      <c r="M106" t="s">
        <v>179</v>
      </c>
      <c r="N106" t="s">
        <v>179</v>
      </c>
      <c r="Q106">
        <v>760</v>
      </c>
      <c r="R106">
        <v>0</v>
      </c>
      <c r="S106">
        <v>1</v>
      </c>
      <c r="Y106">
        <v>762</v>
      </c>
      <c r="Z106" t="s">
        <v>237</v>
      </c>
      <c r="AA106" t="s">
        <v>232</v>
      </c>
      <c r="AB106" t="s">
        <v>232</v>
      </c>
    </row>
    <row r="107" spans="1:28" x14ac:dyDescent="0.2">
      <c r="A107" t="s">
        <v>224</v>
      </c>
      <c r="B107">
        <v>671</v>
      </c>
      <c r="C107" t="s">
        <v>136</v>
      </c>
      <c r="D107" t="s">
        <v>179</v>
      </c>
      <c r="E107" t="s">
        <v>179</v>
      </c>
      <c r="F107" t="s">
        <v>179</v>
      </c>
      <c r="G107" t="s">
        <v>179</v>
      </c>
      <c r="H107" t="s">
        <v>179</v>
      </c>
      <c r="I107" t="s">
        <v>179</v>
      </c>
      <c r="J107" t="s">
        <v>179</v>
      </c>
      <c r="K107" t="s">
        <v>179</v>
      </c>
      <c r="L107" t="s">
        <v>179</v>
      </c>
      <c r="M107" t="s">
        <v>179</v>
      </c>
      <c r="N107" t="s">
        <v>179</v>
      </c>
      <c r="Q107">
        <v>761</v>
      </c>
      <c r="R107">
        <v>0</v>
      </c>
      <c r="S107">
        <v>1</v>
      </c>
      <c r="Y107">
        <v>765</v>
      </c>
      <c r="Z107" t="s">
        <v>237</v>
      </c>
      <c r="AA107" t="s">
        <v>232</v>
      </c>
      <c r="AB107" t="s">
        <v>233</v>
      </c>
    </row>
    <row r="108" spans="1:28" x14ac:dyDescent="0.2">
      <c r="A108" t="s">
        <v>224</v>
      </c>
      <c r="B108">
        <v>672</v>
      </c>
      <c r="C108" t="s">
        <v>16</v>
      </c>
      <c r="D108">
        <v>0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Q108">
        <v>761</v>
      </c>
      <c r="R108">
        <v>0</v>
      </c>
      <c r="S108">
        <v>1</v>
      </c>
      <c r="Y108">
        <v>765</v>
      </c>
      <c r="Z108" t="s">
        <v>237</v>
      </c>
      <c r="AA108" t="s">
        <v>233</v>
      </c>
      <c r="AB108" t="s">
        <v>233</v>
      </c>
    </row>
    <row r="109" spans="1:28" x14ac:dyDescent="0.2">
      <c r="A109" t="s">
        <v>224</v>
      </c>
      <c r="B109">
        <v>673</v>
      </c>
      <c r="C109" t="s">
        <v>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Q109">
        <v>761</v>
      </c>
      <c r="R109">
        <v>0</v>
      </c>
      <c r="S109">
        <v>1</v>
      </c>
      <c r="Y109">
        <v>765</v>
      </c>
      <c r="Z109" t="s">
        <v>237</v>
      </c>
      <c r="AA109" t="s">
        <v>179</v>
      </c>
      <c r="AB109" t="s">
        <v>179</v>
      </c>
    </row>
    <row r="110" spans="1:28" x14ac:dyDescent="0.2">
      <c r="A110" t="s">
        <v>224</v>
      </c>
      <c r="B110">
        <v>673</v>
      </c>
      <c r="C110" t="s">
        <v>152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Q110">
        <v>762</v>
      </c>
      <c r="R110">
        <v>0</v>
      </c>
      <c r="S110">
        <v>0</v>
      </c>
      <c r="Y110">
        <v>766</v>
      </c>
      <c r="Z110" t="s">
        <v>237</v>
      </c>
      <c r="AA110" t="s">
        <v>232</v>
      </c>
      <c r="AB110" t="s">
        <v>232</v>
      </c>
    </row>
    <row r="111" spans="1:28" x14ac:dyDescent="0.2">
      <c r="A111" t="s">
        <v>224</v>
      </c>
      <c r="B111">
        <v>674</v>
      </c>
      <c r="C111" t="s">
        <v>14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Q111">
        <v>762</v>
      </c>
      <c r="R111">
        <v>0</v>
      </c>
      <c r="S111">
        <v>0</v>
      </c>
      <c r="Y111">
        <v>766</v>
      </c>
      <c r="Z111" t="s">
        <v>237</v>
      </c>
      <c r="AA111" t="s">
        <v>233</v>
      </c>
      <c r="AB111" t="s">
        <v>233</v>
      </c>
    </row>
    <row r="112" spans="1:28" x14ac:dyDescent="0.2">
      <c r="A112" t="s">
        <v>224</v>
      </c>
      <c r="B112">
        <v>674</v>
      </c>
      <c r="C112" t="s">
        <v>150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Q112">
        <v>762</v>
      </c>
      <c r="R112">
        <v>0</v>
      </c>
      <c r="S112">
        <v>0</v>
      </c>
      <c r="Y112">
        <v>766</v>
      </c>
      <c r="Z112" t="s">
        <v>237</v>
      </c>
      <c r="AA112" t="s">
        <v>233</v>
      </c>
      <c r="AB112" t="s">
        <v>233</v>
      </c>
    </row>
    <row r="113" spans="1:28" x14ac:dyDescent="0.2">
      <c r="A113" t="s">
        <v>224</v>
      </c>
      <c r="B113">
        <v>675</v>
      </c>
      <c r="C113" t="s">
        <v>15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Q113">
        <v>763</v>
      </c>
      <c r="R113">
        <v>0</v>
      </c>
      <c r="S113">
        <v>1</v>
      </c>
      <c r="Y113">
        <v>767</v>
      </c>
      <c r="Z113" t="s">
        <v>237</v>
      </c>
      <c r="AA113" t="s">
        <v>233</v>
      </c>
      <c r="AB113" t="s">
        <v>233</v>
      </c>
    </row>
    <row r="114" spans="1:28" x14ac:dyDescent="0.2">
      <c r="A114" t="s">
        <v>224</v>
      </c>
      <c r="B114">
        <v>675</v>
      </c>
      <c r="C114" t="s">
        <v>147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Q114">
        <v>763</v>
      </c>
      <c r="R114">
        <v>0</v>
      </c>
      <c r="S114">
        <v>1</v>
      </c>
      <c r="Y114">
        <v>767</v>
      </c>
      <c r="Z114" t="s">
        <v>237</v>
      </c>
      <c r="AA114" t="s">
        <v>233</v>
      </c>
      <c r="AB114" t="s">
        <v>233</v>
      </c>
    </row>
    <row r="115" spans="1:28" x14ac:dyDescent="0.2">
      <c r="A115" t="s">
        <v>224</v>
      </c>
      <c r="B115">
        <v>751</v>
      </c>
      <c r="C115" t="s">
        <v>6</v>
      </c>
      <c r="D115" t="s">
        <v>179</v>
      </c>
      <c r="E115" t="s">
        <v>179</v>
      </c>
      <c r="F115" t="s">
        <v>179</v>
      </c>
      <c r="G115" t="s">
        <v>179</v>
      </c>
      <c r="H115" t="s">
        <v>179</v>
      </c>
      <c r="I115" t="s">
        <v>179</v>
      </c>
      <c r="J115" t="s">
        <v>179</v>
      </c>
      <c r="K115" t="s">
        <v>179</v>
      </c>
      <c r="L115" t="s">
        <v>179</v>
      </c>
      <c r="M115" t="s">
        <v>179</v>
      </c>
      <c r="N115" t="s">
        <v>179</v>
      </c>
      <c r="Q115">
        <v>763</v>
      </c>
      <c r="R115">
        <v>0</v>
      </c>
      <c r="S115">
        <v>1</v>
      </c>
      <c r="Y115">
        <v>767</v>
      </c>
      <c r="Z115" t="s">
        <v>237</v>
      </c>
      <c r="AA115" t="s">
        <v>232</v>
      </c>
      <c r="AB115" t="s">
        <v>232</v>
      </c>
    </row>
    <row r="116" spans="1:28" x14ac:dyDescent="0.2">
      <c r="A116" t="s">
        <v>224</v>
      </c>
      <c r="B116">
        <v>751</v>
      </c>
      <c r="C116" t="s">
        <v>151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Q116">
        <v>764</v>
      </c>
      <c r="R116">
        <v>0</v>
      </c>
      <c r="S116">
        <v>1</v>
      </c>
      <c r="Y116">
        <v>768</v>
      </c>
      <c r="Z116" t="s">
        <v>237</v>
      </c>
      <c r="AA116" t="s">
        <v>232</v>
      </c>
      <c r="AB116" t="s">
        <v>232</v>
      </c>
    </row>
    <row r="117" spans="1:28" x14ac:dyDescent="0.2">
      <c r="A117" t="s">
        <v>224</v>
      </c>
      <c r="B117">
        <v>752</v>
      </c>
      <c r="C117" t="s">
        <v>4</v>
      </c>
      <c r="D117">
        <v>0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Q117">
        <v>764</v>
      </c>
      <c r="R117">
        <v>0</v>
      </c>
      <c r="S117">
        <v>1</v>
      </c>
      <c r="Y117">
        <v>768</v>
      </c>
      <c r="Z117" t="s">
        <v>237</v>
      </c>
      <c r="AA117" t="s">
        <v>232</v>
      </c>
      <c r="AB117" t="s">
        <v>233</v>
      </c>
    </row>
    <row r="118" spans="1:28" x14ac:dyDescent="0.2">
      <c r="A118" t="s">
        <v>224</v>
      </c>
      <c r="B118">
        <v>752</v>
      </c>
      <c r="C118" t="s">
        <v>153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Q118">
        <v>764</v>
      </c>
      <c r="R118">
        <v>0</v>
      </c>
      <c r="S118">
        <v>1</v>
      </c>
      <c r="Y118">
        <v>768</v>
      </c>
      <c r="Z118" t="s">
        <v>237</v>
      </c>
      <c r="AA118" t="s">
        <v>232</v>
      </c>
      <c r="AB118" t="s">
        <v>232</v>
      </c>
    </row>
    <row r="119" spans="1:28" x14ac:dyDescent="0.2">
      <c r="A119" t="s">
        <v>224</v>
      </c>
      <c r="B119">
        <v>753</v>
      </c>
      <c r="C119" t="s">
        <v>140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Q119">
        <v>765</v>
      </c>
      <c r="R119">
        <v>0</v>
      </c>
      <c r="S119">
        <v>1</v>
      </c>
      <c r="Y119">
        <v>768</v>
      </c>
      <c r="Z119" t="s">
        <v>237</v>
      </c>
      <c r="AA119" t="s">
        <v>232</v>
      </c>
      <c r="AB119" t="s">
        <v>232</v>
      </c>
    </row>
    <row r="120" spans="1:28" x14ac:dyDescent="0.2">
      <c r="A120" t="s">
        <v>224</v>
      </c>
      <c r="B120">
        <v>754</v>
      </c>
      <c r="C120" t="s">
        <v>0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Q120">
        <v>765</v>
      </c>
      <c r="R120">
        <v>0</v>
      </c>
      <c r="S120">
        <v>1</v>
      </c>
      <c r="Y120">
        <v>768</v>
      </c>
      <c r="Z120" t="s">
        <v>237</v>
      </c>
      <c r="AA120" t="s">
        <v>232</v>
      </c>
      <c r="AB120" t="s">
        <v>233</v>
      </c>
    </row>
    <row r="121" spans="1:28" x14ac:dyDescent="0.2">
      <c r="A121" t="s">
        <v>224</v>
      </c>
      <c r="B121">
        <v>754</v>
      </c>
      <c r="C121" t="s">
        <v>146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Q121">
        <v>765</v>
      </c>
      <c r="R121" t="s">
        <v>179</v>
      </c>
      <c r="S121" t="s">
        <v>179</v>
      </c>
      <c r="Y121">
        <v>769</v>
      </c>
      <c r="Z121" t="s">
        <v>237</v>
      </c>
      <c r="AA121" t="s">
        <v>233</v>
      </c>
      <c r="AB121" t="s">
        <v>233</v>
      </c>
    </row>
    <row r="122" spans="1:28" x14ac:dyDescent="0.2">
      <c r="A122" t="s">
        <v>224</v>
      </c>
      <c r="B122">
        <v>755</v>
      </c>
      <c r="C122" t="s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Q122">
        <v>766</v>
      </c>
      <c r="R122">
        <v>0</v>
      </c>
      <c r="S122">
        <v>0</v>
      </c>
      <c r="Y122">
        <v>769</v>
      </c>
      <c r="Z122" t="s">
        <v>237</v>
      </c>
      <c r="AA122" t="s">
        <v>233</v>
      </c>
      <c r="AB122" t="s">
        <v>233</v>
      </c>
    </row>
    <row r="123" spans="1:28" x14ac:dyDescent="0.2">
      <c r="A123" t="s">
        <v>224</v>
      </c>
      <c r="B123">
        <v>755</v>
      </c>
      <c r="C123" t="s">
        <v>154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Q123">
        <v>766</v>
      </c>
      <c r="R123">
        <v>0</v>
      </c>
      <c r="S123">
        <v>1</v>
      </c>
      <c r="Y123">
        <v>769</v>
      </c>
      <c r="Z123" t="s">
        <v>237</v>
      </c>
      <c r="AA123" t="s">
        <v>233</v>
      </c>
      <c r="AB123" t="s">
        <v>233</v>
      </c>
    </row>
    <row r="124" spans="1:28" x14ac:dyDescent="0.2">
      <c r="A124" t="s">
        <v>224</v>
      </c>
      <c r="B124">
        <v>756</v>
      </c>
      <c r="C124" t="s">
        <v>25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Q124">
        <v>766</v>
      </c>
      <c r="R124">
        <v>0</v>
      </c>
      <c r="S124">
        <v>1</v>
      </c>
      <c r="Y124">
        <v>770</v>
      </c>
      <c r="Z124" t="s">
        <v>237</v>
      </c>
      <c r="AA124" t="s">
        <v>233</v>
      </c>
      <c r="AB124" t="s">
        <v>233</v>
      </c>
    </row>
    <row r="125" spans="1:28" x14ac:dyDescent="0.2">
      <c r="A125" t="s">
        <v>224</v>
      </c>
      <c r="B125">
        <v>756</v>
      </c>
      <c r="C125" t="s">
        <v>166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Q125">
        <v>767</v>
      </c>
      <c r="R125">
        <v>0</v>
      </c>
      <c r="S125">
        <v>1</v>
      </c>
      <c r="Y125">
        <v>770</v>
      </c>
      <c r="Z125" t="s">
        <v>237</v>
      </c>
      <c r="AA125" t="s">
        <v>233</v>
      </c>
      <c r="AB125" t="s">
        <v>233</v>
      </c>
    </row>
    <row r="126" spans="1:28" x14ac:dyDescent="0.2">
      <c r="A126" t="s">
        <v>224</v>
      </c>
      <c r="B126">
        <v>757</v>
      </c>
      <c r="C126" t="s">
        <v>11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Q126">
        <v>767</v>
      </c>
      <c r="R126">
        <v>0</v>
      </c>
      <c r="S126">
        <v>1</v>
      </c>
      <c r="Y126">
        <v>770</v>
      </c>
      <c r="Z126" t="s">
        <v>237</v>
      </c>
      <c r="AA126" t="s">
        <v>233</v>
      </c>
      <c r="AB126" t="s">
        <v>233</v>
      </c>
    </row>
    <row r="127" spans="1:28" x14ac:dyDescent="0.2">
      <c r="A127" t="s">
        <v>224</v>
      </c>
      <c r="B127">
        <v>757</v>
      </c>
      <c r="C127" t="s">
        <v>142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Q127">
        <v>767</v>
      </c>
      <c r="R127">
        <v>0</v>
      </c>
      <c r="S127">
        <v>0</v>
      </c>
      <c r="Y127">
        <v>771</v>
      </c>
      <c r="Z127" t="s">
        <v>237</v>
      </c>
      <c r="AA127" t="s">
        <v>233</v>
      </c>
      <c r="AB127" t="s">
        <v>233</v>
      </c>
    </row>
    <row r="128" spans="1:28" x14ac:dyDescent="0.2">
      <c r="A128" t="s">
        <v>224</v>
      </c>
      <c r="B128">
        <v>758</v>
      </c>
      <c r="C128" t="s">
        <v>27</v>
      </c>
      <c r="D128" t="s">
        <v>179</v>
      </c>
      <c r="E128" t="s">
        <v>179</v>
      </c>
      <c r="F128" t="s">
        <v>179</v>
      </c>
      <c r="G128" t="s">
        <v>179</v>
      </c>
      <c r="H128" t="s">
        <v>179</v>
      </c>
      <c r="I128" t="s">
        <v>179</v>
      </c>
      <c r="J128" t="s">
        <v>179</v>
      </c>
      <c r="K128" t="s">
        <v>179</v>
      </c>
      <c r="L128" t="s">
        <v>179</v>
      </c>
      <c r="M128" t="s">
        <v>179</v>
      </c>
      <c r="N128" t="s">
        <v>179</v>
      </c>
      <c r="Q128">
        <v>768</v>
      </c>
      <c r="R128">
        <v>0</v>
      </c>
      <c r="S128">
        <v>0</v>
      </c>
      <c r="Y128">
        <v>771</v>
      </c>
      <c r="Z128" t="s">
        <v>237</v>
      </c>
      <c r="AA128" t="s">
        <v>233</v>
      </c>
      <c r="AB128" t="s">
        <v>233</v>
      </c>
    </row>
    <row r="129" spans="1:28" x14ac:dyDescent="0.2">
      <c r="A129" t="s">
        <v>224</v>
      </c>
      <c r="B129">
        <v>758</v>
      </c>
      <c r="C129" t="s">
        <v>128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Q129">
        <v>768</v>
      </c>
      <c r="R129">
        <v>0</v>
      </c>
      <c r="S129">
        <v>1</v>
      </c>
      <c r="Y129">
        <v>771</v>
      </c>
      <c r="Z129" t="s">
        <v>237</v>
      </c>
      <c r="AA129" t="s">
        <v>179</v>
      </c>
      <c r="AB129" t="s">
        <v>179</v>
      </c>
    </row>
    <row r="130" spans="1:28" x14ac:dyDescent="0.2">
      <c r="A130" t="s">
        <v>224</v>
      </c>
      <c r="B130">
        <v>759</v>
      </c>
      <c r="C130" t="s">
        <v>33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Q130">
        <v>768</v>
      </c>
      <c r="R130">
        <v>0</v>
      </c>
      <c r="S130">
        <v>0</v>
      </c>
      <c r="Y130">
        <v>772</v>
      </c>
      <c r="Z130" t="s">
        <v>237</v>
      </c>
      <c r="AA130" t="s">
        <v>233</v>
      </c>
      <c r="AB130" t="s">
        <v>233</v>
      </c>
    </row>
    <row r="131" spans="1:28" x14ac:dyDescent="0.2">
      <c r="A131" t="s">
        <v>224</v>
      </c>
      <c r="B131">
        <v>759</v>
      </c>
      <c r="C131" t="s">
        <v>129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Q131">
        <v>768</v>
      </c>
      <c r="R131">
        <v>0</v>
      </c>
      <c r="S131">
        <v>0</v>
      </c>
      <c r="Y131">
        <v>772</v>
      </c>
      <c r="Z131" t="s">
        <v>237</v>
      </c>
      <c r="AA131" t="s">
        <v>233</v>
      </c>
      <c r="AB131" t="s">
        <v>233</v>
      </c>
    </row>
    <row r="132" spans="1:28" x14ac:dyDescent="0.2">
      <c r="A132" t="s">
        <v>224</v>
      </c>
      <c r="B132">
        <v>760</v>
      </c>
      <c r="C132" t="s">
        <v>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Q132">
        <v>768</v>
      </c>
      <c r="R132">
        <v>0</v>
      </c>
      <c r="S132">
        <v>1</v>
      </c>
      <c r="Y132">
        <v>772</v>
      </c>
      <c r="Z132" t="s">
        <v>237</v>
      </c>
      <c r="AA132" t="s">
        <v>233</v>
      </c>
      <c r="AB132" t="s">
        <v>233</v>
      </c>
    </row>
    <row r="133" spans="1:28" x14ac:dyDescent="0.2">
      <c r="A133" t="s">
        <v>224</v>
      </c>
      <c r="B133">
        <v>760</v>
      </c>
      <c r="C133" t="s">
        <v>170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Q133">
        <v>769</v>
      </c>
      <c r="R133">
        <v>0</v>
      </c>
      <c r="S133">
        <v>1</v>
      </c>
      <c r="Y133">
        <v>773</v>
      </c>
      <c r="Z133" t="s">
        <v>237</v>
      </c>
      <c r="AA133" t="s">
        <v>233</v>
      </c>
      <c r="AB133" t="s">
        <v>233</v>
      </c>
    </row>
    <row r="134" spans="1:28" x14ac:dyDescent="0.2">
      <c r="A134" t="s">
        <v>224</v>
      </c>
      <c r="B134">
        <v>761</v>
      </c>
      <c r="C134" t="s">
        <v>35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Q134">
        <v>769</v>
      </c>
      <c r="R134">
        <v>0</v>
      </c>
      <c r="S134">
        <v>1</v>
      </c>
      <c r="Y134">
        <v>773</v>
      </c>
      <c r="Z134" t="s">
        <v>237</v>
      </c>
      <c r="AA134" t="s">
        <v>232</v>
      </c>
      <c r="AB134" t="s">
        <v>232</v>
      </c>
    </row>
    <row r="135" spans="1:28" x14ac:dyDescent="0.2">
      <c r="A135" t="s">
        <v>224</v>
      </c>
      <c r="B135">
        <v>761</v>
      </c>
      <c r="C135" t="s">
        <v>167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</v>
      </c>
      <c r="N135">
        <v>1</v>
      </c>
      <c r="Q135">
        <v>769</v>
      </c>
      <c r="R135">
        <v>0</v>
      </c>
      <c r="S135">
        <v>1</v>
      </c>
      <c r="Y135">
        <v>773</v>
      </c>
      <c r="Z135" t="s">
        <v>237</v>
      </c>
      <c r="AA135" t="s">
        <v>232</v>
      </c>
      <c r="AB135" t="s">
        <v>232</v>
      </c>
    </row>
    <row r="136" spans="1:28" x14ac:dyDescent="0.2">
      <c r="A136" t="s">
        <v>224</v>
      </c>
      <c r="B136">
        <v>762</v>
      </c>
      <c r="C136" t="s">
        <v>23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Q136">
        <v>770</v>
      </c>
      <c r="R136">
        <v>0</v>
      </c>
      <c r="S136">
        <v>1</v>
      </c>
      <c r="Y136">
        <v>774</v>
      </c>
      <c r="Z136" t="s">
        <v>237</v>
      </c>
      <c r="AA136" t="s">
        <v>232</v>
      </c>
      <c r="AB136" t="s">
        <v>232</v>
      </c>
    </row>
    <row r="137" spans="1:28" x14ac:dyDescent="0.2">
      <c r="A137" t="s">
        <v>224</v>
      </c>
      <c r="B137">
        <v>762</v>
      </c>
      <c r="C137" t="s">
        <v>139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Q137">
        <v>770</v>
      </c>
      <c r="R137">
        <v>0</v>
      </c>
      <c r="S137">
        <v>1</v>
      </c>
      <c r="Y137">
        <v>774</v>
      </c>
      <c r="Z137" t="s">
        <v>237</v>
      </c>
      <c r="AA137" t="s">
        <v>232</v>
      </c>
      <c r="AB137" t="s">
        <v>232</v>
      </c>
    </row>
    <row r="138" spans="1:28" x14ac:dyDescent="0.2">
      <c r="A138" t="s">
        <v>224</v>
      </c>
      <c r="B138">
        <v>763</v>
      </c>
      <c r="C138" t="s">
        <v>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Q138">
        <v>770</v>
      </c>
      <c r="R138">
        <v>0</v>
      </c>
      <c r="S138">
        <v>1</v>
      </c>
      <c r="Y138">
        <v>774</v>
      </c>
      <c r="Z138" t="s">
        <v>237</v>
      </c>
      <c r="AA138" t="s">
        <v>232</v>
      </c>
      <c r="AB138" t="s">
        <v>232</v>
      </c>
    </row>
    <row r="139" spans="1:28" x14ac:dyDescent="0.2">
      <c r="A139" t="s">
        <v>224</v>
      </c>
      <c r="B139">
        <v>763</v>
      </c>
      <c r="C139" t="s">
        <v>141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Q139">
        <v>771</v>
      </c>
      <c r="R139">
        <v>0</v>
      </c>
      <c r="S139">
        <v>1</v>
      </c>
      <c r="Y139">
        <v>775</v>
      </c>
      <c r="Z139" t="s">
        <v>237</v>
      </c>
      <c r="AA139" t="s">
        <v>179</v>
      </c>
      <c r="AB139" t="s">
        <v>179</v>
      </c>
    </row>
    <row r="140" spans="1:28" x14ac:dyDescent="0.2">
      <c r="A140" t="s">
        <v>224</v>
      </c>
      <c r="B140">
        <v>764</v>
      </c>
      <c r="C140" t="s">
        <v>38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Q140">
        <v>771</v>
      </c>
      <c r="R140">
        <v>0</v>
      </c>
      <c r="S140">
        <v>1</v>
      </c>
      <c r="Y140">
        <v>775</v>
      </c>
      <c r="Z140" t="s">
        <v>237</v>
      </c>
      <c r="AA140" t="s">
        <v>179</v>
      </c>
      <c r="AB140" t="s">
        <v>179</v>
      </c>
    </row>
    <row r="141" spans="1:28" x14ac:dyDescent="0.2">
      <c r="A141" t="s">
        <v>224</v>
      </c>
      <c r="B141">
        <v>764</v>
      </c>
      <c r="C141" t="s">
        <v>126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1</v>
      </c>
      <c r="N141">
        <v>1</v>
      </c>
      <c r="Q141">
        <v>771</v>
      </c>
      <c r="R141" t="s">
        <v>179</v>
      </c>
      <c r="S141" t="s">
        <v>179</v>
      </c>
      <c r="Y141">
        <v>775</v>
      </c>
      <c r="Z141" t="s">
        <v>237</v>
      </c>
      <c r="AA141" t="s">
        <v>179</v>
      </c>
      <c r="AB141" t="s">
        <v>179</v>
      </c>
    </row>
    <row r="142" spans="1:28" x14ac:dyDescent="0.2">
      <c r="A142" t="s">
        <v>224</v>
      </c>
      <c r="B142">
        <v>765</v>
      </c>
      <c r="C142" t="s">
        <v>20</v>
      </c>
      <c r="D142">
        <v>0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Q142">
        <v>772</v>
      </c>
      <c r="R142">
        <v>0</v>
      </c>
      <c r="S142">
        <v>1</v>
      </c>
      <c r="Y142">
        <v>909</v>
      </c>
      <c r="Z142" t="s">
        <v>237</v>
      </c>
      <c r="AA142" t="s">
        <v>233</v>
      </c>
      <c r="AB142" t="s">
        <v>233</v>
      </c>
    </row>
    <row r="143" spans="1:28" x14ac:dyDescent="0.2">
      <c r="A143" t="s">
        <v>224</v>
      </c>
      <c r="B143">
        <v>765</v>
      </c>
      <c r="C143" t="s">
        <v>165</v>
      </c>
      <c r="D143" t="s">
        <v>179</v>
      </c>
      <c r="E143" t="s">
        <v>179</v>
      </c>
      <c r="F143" t="s">
        <v>179</v>
      </c>
      <c r="G143" t="s">
        <v>179</v>
      </c>
      <c r="H143" t="s">
        <v>179</v>
      </c>
      <c r="I143" t="s">
        <v>179</v>
      </c>
      <c r="J143" t="s">
        <v>179</v>
      </c>
      <c r="K143" t="s">
        <v>179</v>
      </c>
      <c r="L143" t="s">
        <v>179</v>
      </c>
      <c r="M143" t="s">
        <v>179</v>
      </c>
      <c r="N143" t="s">
        <v>179</v>
      </c>
      <c r="Q143">
        <v>772</v>
      </c>
      <c r="R143">
        <v>0</v>
      </c>
      <c r="S143">
        <v>1</v>
      </c>
      <c r="Y143">
        <v>909</v>
      </c>
      <c r="Z143" t="s">
        <v>237</v>
      </c>
      <c r="AA143" t="s">
        <v>233</v>
      </c>
      <c r="AB143" t="s">
        <v>233</v>
      </c>
    </row>
    <row r="144" spans="1:28" x14ac:dyDescent="0.2">
      <c r="A144" t="s">
        <v>224</v>
      </c>
      <c r="B144">
        <v>766</v>
      </c>
      <c r="C144" t="s">
        <v>17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Q144">
        <v>772</v>
      </c>
      <c r="R144">
        <v>0</v>
      </c>
      <c r="S144">
        <v>1</v>
      </c>
      <c r="Y144">
        <v>909</v>
      </c>
      <c r="Z144" t="s">
        <v>237</v>
      </c>
      <c r="AA144" t="s">
        <v>233</v>
      </c>
      <c r="AB144" t="s">
        <v>233</v>
      </c>
    </row>
    <row r="145" spans="1:28" x14ac:dyDescent="0.2">
      <c r="A145" t="s">
        <v>224</v>
      </c>
      <c r="B145">
        <v>766</v>
      </c>
      <c r="C145" t="s">
        <v>169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Q145">
        <v>773</v>
      </c>
      <c r="R145">
        <v>0</v>
      </c>
      <c r="S145">
        <v>1</v>
      </c>
      <c r="Y145">
        <v>911</v>
      </c>
      <c r="Z145" t="s">
        <v>237</v>
      </c>
      <c r="AA145" t="s">
        <v>232</v>
      </c>
      <c r="AB145" t="s">
        <v>232</v>
      </c>
    </row>
    <row r="146" spans="1:28" x14ac:dyDescent="0.2">
      <c r="A146" t="s">
        <v>224</v>
      </c>
      <c r="B146">
        <v>767</v>
      </c>
      <c r="C146" t="s">
        <v>42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Q146">
        <v>773</v>
      </c>
      <c r="R146">
        <v>0</v>
      </c>
      <c r="S146">
        <v>0</v>
      </c>
      <c r="Y146">
        <v>911</v>
      </c>
      <c r="Z146" t="s">
        <v>237</v>
      </c>
      <c r="AA146" t="s">
        <v>232</v>
      </c>
      <c r="AB146" t="s">
        <v>232</v>
      </c>
    </row>
    <row r="147" spans="1:28" x14ac:dyDescent="0.2">
      <c r="A147" t="s">
        <v>224</v>
      </c>
      <c r="B147">
        <v>767</v>
      </c>
      <c r="C147" t="s">
        <v>149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Q147">
        <v>773</v>
      </c>
      <c r="R147">
        <v>0</v>
      </c>
      <c r="S147">
        <v>0</v>
      </c>
      <c r="Y147">
        <v>911</v>
      </c>
      <c r="Z147" t="s">
        <v>237</v>
      </c>
      <c r="AA147" t="s">
        <v>232</v>
      </c>
      <c r="AB147" t="s">
        <v>232</v>
      </c>
    </row>
    <row r="148" spans="1:28" x14ac:dyDescent="0.2">
      <c r="A148" t="s">
        <v>224</v>
      </c>
      <c r="B148">
        <v>768</v>
      </c>
      <c r="C148" t="s">
        <v>48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Q148">
        <v>774</v>
      </c>
      <c r="R148">
        <v>0</v>
      </c>
      <c r="S148">
        <v>0</v>
      </c>
      <c r="Y148">
        <v>912</v>
      </c>
      <c r="Z148" t="s">
        <v>237</v>
      </c>
      <c r="AA148" t="s">
        <v>233</v>
      </c>
      <c r="AB148" t="s">
        <v>233</v>
      </c>
    </row>
    <row r="149" spans="1:28" x14ac:dyDescent="0.2">
      <c r="A149" t="s">
        <v>224</v>
      </c>
      <c r="B149">
        <v>768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1</v>
      </c>
      <c r="M149">
        <v>1</v>
      </c>
      <c r="N149">
        <v>1</v>
      </c>
      <c r="Q149">
        <v>774</v>
      </c>
      <c r="R149">
        <v>0</v>
      </c>
      <c r="S149">
        <v>0</v>
      </c>
      <c r="Y149">
        <v>912</v>
      </c>
      <c r="Z149" t="s">
        <v>237</v>
      </c>
      <c r="AA149" t="s">
        <v>232</v>
      </c>
      <c r="AB149" t="s">
        <v>232</v>
      </c>
    </row>
    <row r="150" spans="1:28" x14ac:dyDescent="0.2">
      <c r="A150" t="s">
        <v>224</v>
      </c>
      <c r="B150">
        <v>769</v>
      </c>
      <c r="C150" t="s">
        <v>19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Q150">
        <v>774</v>
      </c>
      <c r="R150">
        <v>0</v>
      </c>
      <c r="S150">
        <v>0</v>
      </c>
      <c r="Y150">
        <v>912</v>
      </c>
      <c r="Z150" t="s">
        <v>237</v>
      </c>
      <c r="AA150" t="s">
        <v>233</v>
      </c>
      <c r="AB150" t="s">
        <v>233</v>
      </c>
    </row>
    <row r="151" spans="1:28" x14ac:dyDescent="0.2">
      <c r="A151" t="s">
        <v>224</v>
      </c>
      <c r="B151">
        <v>769</v>
      </c>
      <c r="C151" t="s">
        <v>159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Q151">
        <v>775</v>
      </c>
      <c r="R151" t="s">
        <v>179</v>
      </c>
      <c r="S151" t="s">
        <v>179</v>
      </c>
      <c r="Y151">
        <v>913</v>
      </c>
      <c r="Z151" t="s">
        <v>237</v>
      </c>
      <c r="AA151" t="s">
        <v>232</v>
      </c>
      <c r="AB151" t="s">
        <v>232</v>
      </c>
    </row>
    <row r="152" spans="1:28" x14ac:dyDescent="0.2">
      <c r="A152" t="s">
        <v>224</v>
      </c>
      <c r="B152">
        <v>770</v>
      </c>
      <c r="C152" t="s">
        <v>41</v>
      </c>
      <c r="D152">
        <v>0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Q152">
        <v>775</v>
      </c>
      <c r="R152" t="s">
        <v>179</v>
      </c>
      <c r="S152" t="s">
        <v>179</v>
      </c>
      <c r="Y152">
        <v>913</v>
      </c>
      <c r="Z152" t="s">
        <v>237</v>
      </c>
      <c r="AA152" t="s">
        <v>233</v>
      </c>
      <c r="AB152" t="s">
        <v>233</v>
      </c>
    </row>
    <row r="153" spans="1:28" x14ac:dyDescent="0.2">
      <c r="A153" t="s">
        <v>224</v>
      </c>
      <c r="B153">
        <v>770</v>
      </c>
      <c r="C153" t="s">
        <v>173</v>
      </c>
      <c r="D153">
        <v>0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Q153">
        <v>775</v>
      </c>
      <c r="R153" t="s">
        <v>179</v>
      </c>
      <c r="S153" t="s">
        <v>179</v>
      </c>
      <c r="Y153">
        <v>913</v>
      </c>
      <c r="Z153" t="s">
        <v>237</v>
      </c>
      <c r="AA153" t="s">
        <v>232</v>
      </c>
      <c r="AB153" t="s">
        <v>232</v>
      </c>
    </row>
    <row r="154" spans="1:28" x14ac:dyDescent="0.2">
      <c r="A154" t="s">
        <v>224</v>
      </c>
      <c r="B154">
        <v>771</v>
      </c>
      <c r="C154" t="s">
        <v>10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Q154">
        <v>909</v>
      </c>
      <c r="R154">
        <v>0</v>
      </c>
      <c r="S154">
        <v>1</v>
      </c>
      <c r="Y154">
        <v>914</v>
      </c>
      <c r="Z154" t="s">
        <v>237</v>
      </c>
      <c r="AA154" t="s">
        <v>233</v>
      </c>
      <c r="AB154" t="s">
        <v>233</v>
      </c>
    </row>
    <row r="155" spans="1:28" x14ac:dyDescent="0.2">
      <c r="A155" t="s">
        <v>224</v>
      </c>
      <c r="B155">
        <v>771</v>
      </c>
      <c r="C155" t="s">
        <v>134</v>
      </c>
      <c r="D155" t="s">
        <v>179</v>
      </c>
      <c r="E155" t="s">
        <v>179</v>
      </c>
      <c r="F155" t="s">
        <v>179</v>
      </c>
      <c r="G155" t="s">
        <v>179</v>
      </c>
      <c r="H155" t="s">
        <v>179</v>
      </c>
      <c r="I155" t="s">
        <v>179</v>
      </c>
      <c r="J155" t="s">
        <v>179</v>
      </c>
      <c r="K155" t="s">
        <v>179</v>
      </c>
      <c r="L155" t="s">
        <v>179</v>
      </c>
      <c r="M155" t="s">
        <v>179</v>
      </c>
      <c r="N155" t="s">
        <v>179</v>
      </c>
      <c r="Q155">
        <v>909</v>
      </c>
      <c r="R155">
        <v>0</v>
      </c>
      <c r="S155">
        <v>1</v>
      </c>
      <c r="Y155">
        <v>914</v>
      </c>
      <c r="Z155" t="s">
        <v>237</v>
      </c>
      <c r="AA155" t="s">
        <v>233</v>
      </c>
      <c r="AB155" t="s">
        <v>233</v>
      </c>
    </row>
    <row r="156" spans="1:28" x14ac:dyDescent="0.2">
      <c r="A156" t="s">
        <v>224</v>
      </c>
      <c r="B156">
        <v>772</v>
      </c>
      <c r="C156" t="s">
        <v>44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Q156">
        <v>909</v>
      </c>
      <c r="R156">
        <v>0</v>
      </c>
      <c r="S156">
        <v>1</v>
      </c>
      <c r="Y156">
        <v>914</v>
      </c>
      <c r="Z156" t="s">
        <v>237</v>
      </c>
      <c r="AA156" t="s">
        <v>179</v>
      </c>
      <c r="AB156" t="s">
        <v>179</v>
      </c>
    </row>
    <row r="157" spans="1:28" x14ac:dyDescent="0.2">
      <c r="A157" t="s">
        <v>224</v>
      </c>
      <c r="B157">
        <v>772</v>
      </c>
      <c r="C157" t="s">
        <v>171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Q157">
        <v>910</v>
      </c>
      <c r="R157">
        <v>0</v>
      </c>
      <c r="S157">
        <v>1</v>
      </c>
      <c r="Y157">
        <v>915</v>
      </c>
      <c r="Z157" t="s">
        <v>237</v>
      </c>
      <c r="AA157" t="s">
        <v>233</v>
      </c>
      <c r="AB157" t="s">
        <v>233</v>
      </c>
    </row>
    <row r="158" spans="1:28" x14ac:dyDescent="0.2">
      <c r="A158" t="s">
        <v>224</v>
      </c>
      <c r="B158">
        <v>773</v>
      </c>
      <c r="C158" t="s">
        <v>51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Q158">
        <v>910</v>
      </c>
      <c r="R158">
        <v>0</v>
      </c>
      <c r="S158">
        <v>0</v>
      </c>
      <c r="Y158">
        <v>915</v>
      </c>
      <c r="Z158" t="s">
        <v>237</v>
      </c>
      <c r="AA158" t="s">
        <v>232</v>
      </c>
      <c r="AB158" t="s">
        <v>232</v>
      </c>
    </row>
    <row r="159" spans="1:28" x14ac:dyDescent="0.2">
      <c r="A159" t="s">
        <v>224</v>
      </c>
      <c r="B159">
        <v>773</v>
      </c>
      <c r="C159" t="s">
        <v>172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Q159">
        <v>910</v>
      </c>
      <c r="R159">
        <v>0</v>
      </c>
      <c r="S159">
        <v>1</v>
      </c>
      <c r="Y159">
        <v>915</v>
      </c>
      <c r="Z159" t="s">
        <v>237</v>
      </c>
      <c r="AA159" t="s">
        <v>233</v>
      </c>
      <c r="AB159" t="s">
        <v>233</v>
      </c>
    </row>
    <row r="160" spans="1:28" x14ac:dyDescent="0.2">
      <c r="A160" t="s">
        <v>224</v>
      </c>
      <c r="B160">
        <v>774</v>
      </c>
      <c r="C160" t="s">
        <v>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Q160">
        <v>911</v>
      </c>
      <c r="R160">
        <v>0</v>
      </c>
      <c r="S160">
        <v>0</v>
      </c>
      <c r="Y160">
        <v>916</v>
      </c>
      <c r="Z160" t="s">
        <v>237</v>
      </c>
      <c r="AA160" t="s">
        <v>233</v>
      </c>
      <c r="AB160" t="s">
        <v>233</v>
      </c>
    </row>
    <row r="161" spans="1:28" x14ac:dyDescent="0.2">
      <c r="A161" t="s">
        <v>224</v>
      </c>
      <c r="B161">
        <v>774</v>
      </c>
      <c r="C161" t="s">
        <v>162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Q161">
        <v>911</v>
      </c>
      <c r="R161">
        <v>0</v>
      </c>
      <c r="S161">
        <v>0</v>
      </c>
      <c r="Y161">
        <v>916</v>
      </c>
      <c r="Z161" t="s">
        <v>237</v>
      </c>
      <c r="AA161" t="s">
        <v>233</v>
      </c>
      <c r="AB161" t="s">
        <v>233</v>
      </c>
    </row>
    <row r="162" spans="1:28" x14ac:dyDescent="0.2">
      <c r="A162" t="s">
        <v>224</v>
      </c>
      <c r="B162">
        <v>775</v>
      </c>
      <c r="C162" t="s">
        <v>30</v>
      </c>
      <c r="D162" t="s">
        <v>179</v>
      </c>
      <c r="E162" t="s">
        <v>179</v>
      </c>
      <c r="F162" t="s">
        <v>179</v>
      </c>
      <c r="G162" t="s">
        <v>179</v>
      </c>
      <c r="H162" t="s">
        <v>179</v>
      </c>
      <c r="I162" t="s">
        <v>179</v>
      </c>
      <c r="J162" t="s">
        <v>179</v>
      </c>
      <c r="K162" t="s">
        <v>179</v>
      </c>
      <c r="L162" t="s">
        <v>179</v>
      </c>
      <c r="M162" t="s">
        <v>179</v>
      </c>
      <c r="N162" t="s">
        <v>179</v>
      </c>
      <c r="Q162">
        <v>911</v>
      </c>
      <c r="R162">
        <v>0</v>
      </c>
      <c r="S162">
        <v>0</v>
      </c>
      <c r="Y162">
        <v>916</v>
      </c>
      <c r="Z162" t="s">
        <v>237</v>
      </c>
      <c r="AA162" t="s">
        <v>233</v>
      </c>
      <c r="AB162" t="s">
        <v>233</v>
      </c>
    </row>
    <row r="163" spans="1:28" x14ac:dyDescent="0.2">
      <c r="A163" t="s">
        <v>224</v>
      </c>
      <c r="B163">
        <v>775</v>
      </c>
      <c r="C163" t="s">
        <v>160</v>
      </c>
      <c r="D163" t="s">
        <v>179</v>
      </c>
      <c r="E163" t="s">
        <v>179</v>
      </c>
      <c r="F163" t="s">
        <v>179</v>
      </c>
      <c r="G163" t="s">
        <v>179</v>
      </c>
      <c r="H163" t="s">
        <v>179</v>
      </c>
      <c r="I163" t="s">
        <v>179</v>
      </c>
      <c r="J163" t="s">
        <v>179</v>
      </c>
      <c r="K163" t="s">
        <v>179</v>
      </c>
      <c r="L163" t="s">
        <v>179</v>
      </c>
      <c r="M163" t="s">
        <v>179</v>
      </c>
      <c r="N163" t="s">
        <v>179</v>
      </c>
      <c r="Q163">
        <v>912</v>
      </c>
      <c r="R163">
        <v>0</v>
      </c>
      <c r="S163">
        <v>1</v>
      </c>
      <c r="Y163">
        <v>918</v>
      </c>
      <c r="Z163" t="s">
        <v>237</v>
      </c>
      <c r="AA163" t="s">
        <v>233</v>
      </c>
      <c r="AB163" t="s">
        <v>233</v>
      </c>
    </row>
    <row r="164" spans="1:28" x14ac:dyDescent="0.2">
      <c r="A164" t="s">
        <v>224</v>
      </c>
      <c r="B164">
        <v>909</v>
      </c>
      <c r="C164" t="s">
        <v>43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Q164">
        <v>912</v>
      </c>
      <c r="R164">
        <v>0</v>
      </c>
      <c r="S164">
        <v>0</v>
      </c>
      <c r="Y164">
        <v>918</v>
      </c>
      <c r="Z164" t="s">
        <v>237</v>
      </c>
      <c r="AA164" t="s">
        <v>233</v>
      </c>
      <c r="AB164" t="s">
        <v>233</v>
      </c>
    </row>
    <row r="165" spans="1:28" x14ac:dyDescent="0.2">
      <c r="A165" t="s">
        <v>224</v>
      </c>
      <c r="B165">
        <v>909</v>
      </c>
      <c r="C165" t="s">
        <v>163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Q165">
        <v>912</v>
      </c>
      <c r="R165">
        <v>0</v>
      </c>
      <c r="S165">
        <v>1</v>
      </c>
      <c r="Y165">
        <v>918</v>
      </c>
      <c r="Z165" t="s">
        <v>237</v>
      </c>
      <c r="AA165" t="s">
        <v>233</v>
      </c>
      <c r="AB165" t="s">
        <v>233</v>
      </c>
    </row>
    <row r="166" spans="1:28" x14ac:dyDescent="0.2">
      <c r="A166" t="s">
        <v>224</v>
      </c>
      <c r="B166">
        <v>910</v>
      </c>
      <c r="C166" t="s">
        <v>50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Q166">
        <v>913</v>
      </c>
      <c r="R166">
        <v>0</v>
      </c>
      <c r="S166">
        <v>0</v>
      </c>
      <c r="Y166">
        <v>660</v>
      </c>
      <c r="Z166" t="s">
        <v>238</v>
      </c>
      <c r="AA166" t="s">
        <v>232</v>
      </c>
      <c r="AB166" t="s">
        <v>233</v>
      </c>
    </row>
    <row r="167" spans="1:28" x14ac:dyDescent="0.2">
      <c r="A167" t="s">
        <v>224</v>
      </c>
      <c r="B167">
        <v>910</v>
      </c>
      <c r="C167" t="s">
        <v>145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Q167">
        <v>913</v>
      </c>
      <c r="R167">
        <v>0</v>
      </c>
      <c r="S167">
        <v>1</v>
      </c>
      <c r="Y167">
        <v>660</v>
      </c>
      <c r="Z167" t="s">
        <v>238</v>
      </c>
      <c r="AA167" t="s">
        <v>232</v>
      </c>
      <c r="AB167" t="s">
        <v>232</v>
      </c>
    </row>
    <row r="168" spans="1:28" x14ac:dyDescent="0.2">
      <c r="A168" t="s">
        <v>224</v>
      </c>
      <c r="B168">
        <v>911</v>
      </c>
      <c r="C168" t="s">
        <v>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Q168">
        <v>913</v>
      </c>
      <c r="R168">
        <v>0</v>
      </c>
      <c r="S168">
        <v>0</v>
      </c>
      <c r="Y168">
        <v>660</v>
      </c>
      <c r="Z168" t="s">
        <v>238</v>
      </c>
      <c r="AA168" t="s">
        <v>233</v>
      </c>
      <c r="AB168" t="s">
        <v>233</v>
      </c>
    </row>
    <row r="169" spans="1:28" x14ac:dyDescent="0.2">
      <c r="A169" t="s">
        <v>224</v>
      </c>
      <c r="B169">
        <v>911</v>
      </c>
      <c r="C169" t="s">
        <v>120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Q169">
        <v>914</v>
      </c>
      <c r="R169">
        <v>0</v>
      </c>
      <c r="S169">
        <v>1</v>
      </c>
      <c r="Y169">
        <v>661</v>
      </c>
      <c r="Z169" t="s">
        <v>238</v>
      </c>
      <c r="AA169" t="s">
        <v>233</v>
      </c>
      <c r="AB169" t="s">
        <v>233</v>
      </c>
    </row>
    <row r="170" spans="1:28" x14ac:dyDescent="0.2">
      <c r="A170" t="s">
        <v>224</v>
      </c>
      <c r="B170">
        <v>912</v>
      </c>
      <c r="C170" t="s">
        <v>49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Q170">
        <v>914</v>
      </c>
      <c r="R170">
        <v>0</v>
      </c>
      <c r="S170">
        <v>1</v>
      </c>
      <c r="Y170">
        <v>661</v>
      </c>
      <c r="Z170" t="s">
        <v>238</v>
      </c>
      <c r="AA170" t="s">
        <v>233</v>
      </c>
      <c r="AB170" t="s">
        <v>233</v>
      </c>
    </row>
    <row r="171" spans="1:28" x14ac:dyDescent="0.2">
      <c r="A171" t="s">
        <v>224</v>
      </c>
      <c r="B171">
        <v>912</v>
      </c>
      <c r="C171" t="s">
        <v>158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Q171">
        <v>914</v>
      </c>
      <c r="R171" t="s">
        <v>179</v>
      </c>
      <c r="S171" t="s">
        <v>179</v>
      </c>
      <c r="Y171">
        <v>661</v>
      </c>
      <c r="Z171" t="s">
        <v>238</v>
      </c>
      <c r="AA171" t="s">
        <v>232</v>
      </c>
      <c r="AB171" t="s">
        <v>232</v>
      </c>
    </row>
    <row r="172" spans="1:28" x14ac:dyDescent="0.2">
      <c r="A172" t="s">
        <v>224</v>
      </c>
      <c r="B172">
        <v>913</v>
      </c>
      <c r="C172" t="s">
        <v>29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Q172">
        <v>915</v>
      </c>
      <c r="R172">
        <v>0</v>
      </c>
      <c r="S172">
        <v>1</v>
      </c>
      <c r="Y172">
        <v>752</v>
      </c>
      <c r="Z172" t="s">
        <v>238</v>
      </c>
      <c r="AA172" t="s">
        <v>233</v>
      </c>
      <c r="AB172" t="s">
        <v>233</v>
      </c>
    </row>
    <row r="173" spans="1:28" x14ac:dyDescent="0.2">
      <c r="A173" t="s">
        <v>224</v>
      </c>
      <c r="B173">
        <v>913</v>
      </c>
      <c r="C173" t="s">
        <v>143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Q173">
        <v>915</v>
      </c>
      <c r="R173">
        <v>0</v>
      </c>
      <c r="S173">
        <v>0</v>
      </c>
      <c r="Y173">
        <v>752</v>
      </c>
      <c r="Z173" t="s">
        <v>238</v>
      </c>
      <c r="AA173" t="s">
        <v>233</v>
      </c>
      <c r="AB173" t="s">
        <v>233</v>
      </c>
    </row>
    <row r="174" spans="1:28" x14ac:dyDescent="0.2">
      <c r="A174" t="s">
        <v>224</v>
      </c>
      <c r="B174">
        <v>914</v>
      </c>
      <c r="C174" t="s">
        <v>56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Q174">
        <v>915</v>
      </c>
      <c r="R174">
        <v>0</v>
      </c>
      <c r="S174">
        <v>1</v>
      </c>
      <c r="Y174">
        <v>752</v>
      </c>
      <c r="Z174" t="s">
        <v>238</v>
      </c>
      <c r="AA174" t="s">
        <v>233</v>
      </c>
      <c r="AB174" t="s">
        <v>233</v>
      </c>
    </row>
    <row r="175" spans="1:28" x14ac:dyDescent="0.2">
      <c r="A175" t="s">
        <v>224</v>
      </c>
      <c r="B175">
        <v>914</v>
      </c>
      <c r="C175" t="s">
        <v>119</v>
      </c>
      <c r="D175" t="s">
        <v>179</v>
      </c>
      <c r="E175" t="s">
        <v>179</v>
      </c>
      <c r="F175" t="s">
        <v>179</v>
      </c>
      <c r="G175" t="s">
        <v>179</v>
      </c>
      <c r="H175" t="s">
        <v>179</v>
      </c>
      <c r="I175" t="s">
        <v>179</v>
      </c>
      <c r="J175" t="s">
        <v>179</v>
      </c>
      <c r="K175" t="s">
        <v>179</v>
      </c>
      <c r="L175" t="s">
        <v>179</v>
      </c>
      <c r="M175" t="s">
        <v>179</v>
      </c>
      <c r="N175" t="s">
        <v>179</v>
      </c>
      <c r="Q175">
        <v>916</v>
      </c>
      <c r="R175">
        <v>0</v>
      </c>
      <c r="S175">
        <v>1</v>
      </c>
      <c r="Y175">
        <v>754</v>
      </c>
      <c r="Z175" t="s">
        <v>238</v>
      </c>
      <c r="AA175" t="s">
        <v>232</v>
      </c>
      <c r="AB175" t="s">
        <v>232</v>
      </c>
    </row>
    <row r="176" spans="1:28" x14ac:dyDescent="0.2">
      <c r="A176" t="s">
        <v>224</v>
      </c>
      <c r="B176">
        <v>915</v>
      </c>
      <c r="C176" t="s">
        <v>31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Q176">
        <v>916</v>
      </c>
      <c r="R176">
        <v>0</v>
      </c>
      <c r="S176">
        <v>1</v>
      </c>
      <c r="Y176">
        <v>754</v>
      </c>
      <c r="Z176" t="s">
        <v>238</v>
      </c>
      <c r="AA176" t="s">
        <v>233</v>
      </c>
      <c r="AB176" t="s">
        <v>233</v>
      </c>
    </row>
    <row r="177" spans="1:28" x14ac:dyDescent="0.2">
      <c r="A177" t="s">
        <v>224</v>
      </c>
      <c r="B177">
        <v>915</v>
      </c>
      <c r="C177" t="s">
        <v>174</v>
      </c>
      <c r="D177">
        <v>0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Q177">
        <v>916</v>
      </c>
      <c r="R177">
        <v>0</v>
      </c>
      <c r="S177">
        <v>1</v>
      </c>
      <c r="Y177">
        <v>754</v>
      </c>
      <c r="Z177" t="s">
        <v>238</v>
      </c>
      <c r="AA177" t="s">
        <v>233</v>
      </c>
      <c r="AB177" t="s">
        <v>233</v>
      </c>
    </row>
    <row r="178" spans="1:28" x14ac:dyDescent="0.2">
      <c r="A178" t="s">
        <v>224</v>
      </c>
      <c r="B178">
        <v>916</v>
      </c>
      <c r="C178" t="s">
        <v>47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Q178">
        <v>917</v>
      </c>
      <c r="R178">
        <v>0</v>
      </c>
      <c r="S178">
        <v>1</v>
      </c>
      <c r="Y178">
        <v>755</v>
      </c>
      <c r="Z178" t="s">
        <v>238</v>
      </c>
      <c r="AA178" t="s">
        <v>233</v>
      </c>
      <c r="AB178" t="s">
        <v>233</v>
      </c>
    </row>
    <row r="179" spans="1:28" x14ac:dyDescent="0.2">
      <c r="A179" t="s">
        <v>224</v>
      </c>
      <c r="B179">
        <v>916</v>
      </c>
      <c r="C179" t="s">
        <v>131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Q179">
        <v>917</v>
      </c>
      <c r="R179">
        <v>0</v>
      </c>
      <c r="S179">
        <v>1</v>
      </c>
      <c r="Y179">
        <v>755</v>
      </c>
      <c r="Z179" t="s">
        <v>238</v>
      </c>
      <c r="AA179" t="s">
        <v>232</v>
      </c>
      <c r="AB179" t="s">
        <v>232</v>
      </c>
    </row>
    <row r="180" spans="1:28" x14ac:dyDescent="0.2">
      <c r="A180" t="s">
        <v>224</v>
      </c>
      <c r="B180">
        <v>917</v>
      </c>
      <c r="C180" t="s">
        <v>55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Q180">
        <v>917</v>
      </c>
      <c r="R180">
        <v>0</v>
      </c>
      <c r="S180">
        <v>1</v>
      </c>
      <c r="Y180">
        <v>755</v>
      </c>
      <c r="Z180" t="s">
        <v>238</v>
      </c>
      <c r="AA180" t="s">
        <v>232</v>
      </c>
      <c r="AB180" t="s">
        <v>232</v>
      </c>
    </row>
    <row r="181" spans="1:28" x14ac:dyDescent="0.2">
      <c r="A181" t="s">
        <v>224</v>
      </c>
      <c r="B181">
        <v>917</v>
      </c>
      <c r="C181" t="s">
        <v>117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Q181">
        <v>918</v>
      </c>
      <c r="R181">
        <v>0</v>
      </c>
      <c r="S181">
        <v>1</v>
      </c>
      <c r="Y181">
        <v>763</v>
      </c>
      <c r="Z181" t="s">
        <v>238</v>
      </c>
      <c r="AA181" t="s">
        <v>233</v>
      </c>
      <c r="AB181" t="s">
        <v>233</v>
      </c>
    </row>
    <row r="182" spans="1:28" x14ac:dyDescent="0.2">
      <c r="A182" t="s">
        <v>224</v>
      </c>
      <c r="B182">
        <v>918</v>
      </c>
      <c r="C182" t="s">
        <v>34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Q182">
        <v>918</v>
      </c>
      <c r="R182">
        <v>0</v>
      </c>
      <c r="S182">
        <v>1</v>
      </c>
      <c r="Y182">
        <v>763</v>
      </c>
      <c r="Z182" t="s">
        <v>238</v>
      </c>
      <c r="AA182" t="s">
        <v>233</v>
      </c>
      <c r="AB182" t="s">
        <v>233</v>
      </c>
    </row>
    <row r="183" spans="1:28" x14ac:dyDescent="0.2">
      <c r="A183" t="s">
        <v>224</v>
      </c>
      <c r="B183">
        <v>918</v>
      </c>
      <c r="C183" t="s">
        <v>144</v>
      </c>
      <c r="D183">
        <v>0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Q183">
        <v>918</v>
      </c>
      <c r="R183">
        <v>0</v>
      </c>
      <c r="S183">
        <v>1</v>
      </c>
      <c r="Y183">
        <v>763</v>
      </c>
      <c r="Z183" t="s">
        <v>238</v>
      </c>
      <c r="AA183" t="s">
        <v>233</v>
      </c>
      <c r="AB183" t="s">
        <v>233</v>
      </c>
    </row>
    <row r="184" spans="1:28" x14ac:dyDescent="0.2">
      <c r="D184">
        <f>COUNTIF(D2:D183,"0")</f>
        <v>157</v>
      </c>
      <c r="E184">
        <f t="shared" ref="E184:N184" si="1">COUNTIF(E2:E183,"0")</f>
        <v>109</v>
      </c>
      <c r="F184">
        <f t="shared" si="1"/>
        <v>84</v>
      </c>
      <c r="G184">
        <f t="shared" si="1"/>
        <v>76</v>
      </c>
      <c r="H184">
        <f t="shared" si="1"/>
        <v>66</v>
      </c>
      <c r="I184">
        <f t="shared" si="1"/>
        <v>61</v>
      </c>
      <c r="J184">
        <f t="shared" si="1"/>
        <v>60</v>
      </c>
      <c r="K184">
        <f t="shared" si="1"/>
        <v>57</v>
      </c>
      <c r="L184">
        <f t="shared" si="1"/>
        <v>55</v>
      </c>
      <c r="M184">
        <f t="shared" si="1"/>
        <v>54</v>
      </c>
      <c r="N184">
        <f t="shared" si="1"/>
        <v>50</v>
      </c>
      <c r="S184">
        <v>50</v>
      </c>
    </row>
    <row r="185" spans="1:28" x14ac:dyDescent="0.2">
      <c r="D185">
        <f>COUNTIF(D2:D183,"NA")</f>
        <v>25</v>
      </c>
      <c r="E185">
        <f>E184/157</f>
        <v>0.69426751592356684</v>
      </c>
      <c r="F185">
        <f t="shared" ref="F185:N185" si="2">F184/157</f>
        <v>0.53503184713375795</v>
      </c>
      <c r="G185">
        <f t="shared" si="2"/>
        <v>0.48407643312101911</v>
      </c>
      <c r="H185">
        <f t="shared" si="2"/>
        <v>0.42038216560509556</v>
      </c>
      <c r="I185">
        <f t="shared" si="2"/>
        <v>0.38853503184713378</v>
      </c>
      <c r="J185">
        <f t="shared" si="2"/>
        <v>0.38216560509554143</v>
      </c>
      <c r="K185">
        <f t="shared" si="2"/>
        <v>0.36305732484076431</v>
      </c>
      <c r="L185">
        <f t="shared" si="2"/>
        <v>0.3503184713375796</v>
      </c>
      <c r="M185">
        <f t="shared" si="2"/>
        <v>0.34394904458598724</v>
      </c>
      <c r="N185">
        <f t="shared" si="2"/>
        <v>0.31847133757961782</v>
      </c>
    </row>
    <row r="186" spans="1:28" x14ac:dyDescent="0.2">
      <c r="D186">
        <f>157/182</f>
        <v>0.86263736263736268</v>
      </c>
      <c r="E186">
        <f>1-E185</f>
        <v>0.30573248407643316</v>
      </c>
      <c r="F186">
        <f t="shared" ref="F186:N186" si="3">1-F185</f>
        <v>0.46496815286624205</v>
      </c>
      <c r="G186">
        <f t="shared" si="3"/>
        <v>0.51592356687898089</v>
      </c>
      <c r="H186">
        <f t="shared" si="3"/>
        <v>0.57961783439490444</v>
      </c>
      <c r="I186">
        <f t="shared" si="3"/>
        <v>0.61146496815286622</v>
      </c>
      <c r="J186">
        <f t="shared" si="3"/>
        <v>0.61783439490445857</v>
      </c>
      <c r="K186">
        <f t="shared" si="3"/>
        <v>0.63694267515923575</v>
      </c>
      <c r="L186">
        <f t="shared" si="3"/>
        <v>0.64968152866242046</v>
      </c>
      <c r="M186">
        <f t="shared" si="3"/>
        <v>0.65605095541401282</v>
      </c>
      <c r="N186">
        <f t="shared" si="3"/>
        <v>0.68152866242038224</v>
      </c>
    </row>
  </sheetData>
  <sortState xmlns:xlrd2="http://schemas.microsoft.com/office/spreadsheetml/2017/richdata2" ref="Y2:AB189">
    <sortCondition ref="Z2:Z18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1B3EE-0694-0649-8664-D472D68E4D9E}">
  <dimension ref="A1:P247"/>
  <sheetViews>
    <sheetView workbookViewId="0">
      <selection activeCell="N36" sqref="N36"/>
    </sheetView>
  </sheetViews>
  <sheetFormatPr baseColWidth="10" defaultRowHeight="16" x14ac:dyDescent="0.2"/>
  <sheetData>
    <row r="1" spans="1:15" x14ac:dyDescent="0.2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  <c r="M1" t="s">
        <v>208</v>
      </c>
      <c r="N1" t="s">
        <v>209</v>
      </c>
      <c r="O1" t="s">
        <v>210</v>
      </c>
    </row>
    <row r="2" spans="1:1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179</v>
      </c>
      <c r="N3" t="s">
        <v>179</v>
      </c>
      <c r="O3" t="s">
        <v>179</v>
      </c>
    </row>
    <row r="4" spans="1:15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179</v>
      </c>
      <c r="M4" t="s">
        <v>179</v>
      </c>
      <c r="N4" t="s">
        <v>179</v>
      </c>
      <c r="O4" t="s">
        <v>179</v>
      </c>
    </row>
    <row r="5" spans="1:15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179</v>
      </c>
      <c r="N5" t="s">
        <v>179</v>
      </c>
      <c r="O5" t="s">
        <v>179</v>
      </c>
    </row>
    <row r="6" spans="1:15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179</v>
      </c>
      <c r="N6" t="s">
        <v>179</v>
      </c>
      <c r="O6" t="s">
        <v>179</v>
      </c>
    </row>
    <row r="7" spans="1:15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179</v>
      </c>
      <c r="L7" t="s">
        <v>179</v>
      </c>
      <c r="M7" t="s">
        <v>179</v>
      </c>
      <c r="N7" t="s">
        <v>179</v>
      </c>
      <c r="O7" t="s">
        <v>179</v>
      </c>
    </row>
    <row r="8" spans="1:15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179</v>
      </c>
      <c r="M8" t="s">
        <v>179</v>
      </c>
      <c r="N8" t="s">
        <v>179</v>
      </c>
      <c r="O8" t="s">
        <v>179</v>
      </c>
    </row>
    <row r="9" spans="1:15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179</v>
      </c>
      <c r="J9" t="s">
        <v>179</v>
      </c>
      <c r="K9" t="s">
        <v>179</v>
      </c>
      <c r="L9" t="s">
        <v>179</v>
      </c>
      <c r="M9" t="s">
        <v>179</v>
      </c>
      <c r="N9" t="s">
        <v>179</v>
      </c>
      <c r="O9" t="s">
        <v>179</v>
      </c>
    </row>
    <row r="10" spans="1:15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179</v>
      </c>
      <c r="J10" t="s">
        <v>179</v>
      </c>
      <c r="K10" t="s">
        <v>179</v>
      </c>
      <c r="L10" t="s">
        <v>179</v>
      </c>
      <c r="M10" t="s">
        <v>179</v>
      </c>
      <c r="N10" t="s">
        <v>179</v>
      </c>
      <c r="O10" t="s">
        <v>179</v>
      </c>
    </row>
    <row r="11" spans="1:15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179</v>
      </c>
      <c r="K11" t="s">
        <v>179</v>
      </c>
      <c r="L11" t="s">
        <v>179</v>
      </c>
      <c r="M11" t="s">
        <v>179</v>
      </c>
      <c r="N11" t="s">
        <v>179</v>
      </c>
      <c r="O11" t="s">
        <v>179</v>
      </c>
    </row>
    <row r="12" spans="1:15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179</v>
      </c>
      <c r="L13" t="s">
        <v>179</v>
      </c>
      <c r="M13" t="s">
        <v>179</v>
      </c>
      <c r="N13" t="s">
        <v>179</v>
      </c>
      <c r="O13" t="s">
        <v>179</v>
      </c>
    </row>
    <row r="14" spans="1:15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179</v>
      </c>
      <c r="L14" t="s">
        <v>179</v>
      </c>
      <c r="M14" t="s">
        <v>179</v>
      </c>
      <c r="N14" t="s">
        <v>179</v>
      </c>
      <c r="O14" t="s">
        <v>179</v>
      </c>
    </row>
    <row r="15" spans="1:15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">
        <v>179</v>
      </c>
      <c r="I15" t="s">
        <v>179</v>
      </c>
      <c r="J15" t="s">
        <v>179</v>
      </c>
      <c r="K15" t="s">
        <v>179</v>
      </c>
      <c r="L15" t="s">
        <v>179</v>
      </c>
      <c r="M15" t="s">
        <v>179</v>
      </c>
      <c r="N15" t="s">
        <v>179</v>
      </c>
      <c r="O15" t="s">
        <v>179</v>
      </c>
    </row>
    <row r="16" spans="1:15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179</v>
      </c>
      <c r="I16" t="s">
        <v>179</v>
      </c>
      <c r="J16" t="s">
        <v>179</v>
      </c>
      <c r="K16" t="s">
        <v>179</v>
      </c>
      <c r="L16" t="s">
        <v>179</v>
      </c>
      <c r="M16" t="s">
        <v>179</v>
      </c>
      <c r="N16" t="s">
        <v>179</v>
      </c>
      <c r="O16" t="s">
        <v>179</v>
      </c>
    </row>
    <row r="17" spans="1:15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179</v>
      </c>
    </row>
    <row r="18" spans="1:15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179</v>
      </c>
      <c r="L18" t="s">
        <v>179</v>
      </c>
      <c r="M18" t="s">
        <v>179</v>
      </c>
      <c r="N18" t="s">
        <v>179</v>
      </c>
      <c r="O18" t="s">
        <v>179</v>
      </c>
    </row>
    <row r="19" spans="1:15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179</v>
      </c>
      <c r="M19" t="s">
        <v>179</v>
      </c>
      <c r="N19" t="s">
        <v>179</v>
      </c>
      <c r="O19" t="s">
        <v>179</v>
      </c>
    </row>
    <row r="20" spans="1:15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179</v>
      </c>
      <c r="N20" t="s">
        <v>179</v>
      </c>
      <c r="O20" t="s">
        <v>179</v>
      </c>
    </row>
    <row r="21" spans="1:15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179</v>
      </c>
      <c r="M21" t="s">
        <v>179</v>
      </c>
      <c r="N21" t="s">
        <v>179</v>
      </c>
      <c r="O21" t="s">
        <v>179</v>
      </c>
    </row>
    <row r="22" spans="1:15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179</v>
      </c>
      <c r="L22" t="s">
        <v>179</v>
      </c>
      <c r="M22" t="s">
        <v>179</v>
      </c>
      <c r="N22" t="s">
        <v>179</v>
      </c>
      <c r="O22" t="s">
        <v>179</v>
      </c>
    </row>
    <row r="23" spans="1:15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179</v>
      </c>
      <c r="K23" t="s">
        <v>179</v>
      </c>
      <c r="L23" t="s">
        <v>179</v>
      </c>
      <c r="M23" t="s">
        <v>179</v>
      </c>
      <c r="N23" t="s">
        <v>179</v>
      </c>
      <c r="O23" t="s">
        <v>179</v>
      </c>
    </row>
    <row r="24" spans="1:15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179</v>
      </c>
      <c r="M24" t="s">
        <v>179</v>
      </c>
      <c r="N24" t="s">
        <v>179</v>
      </c>
      <c r="O24" t="s">
        <v>179</v>
      </c>
    </row>
    <row r="25" spans="1:15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179</v>
      </c>
      <c r="M26" t="s">
        <v>179</v>
      </c>
      <c r="N26" t="s">
        <v>179</v>
      </c>
      <c r="O26" t="s">
        <v>179</v>
      </c>
    </row>
    <row r="27" spans="1:15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179</v>
      </c>
      <c r="K28" t="s">
        <v>179</v>
      </c>
      <c r="L28" t="s">
        <v>179</v>
      </c>
      <c r="M28" t="s">
        <v>179</v>
      </c>
      <c r="N28" t="s">
        <v>179</v>
      </c>
      <c r="O28" t="s">
        <v>179</v>
      </c>
    </row>
    <row r="29" spans="1:15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179</v>
      </c>
      <c r="K29" t="s">
        <v>179</v>
      </c>
      <c r="L29" t="s">
        <v>179</v>
      </c>
      <c r="M29" t="s">
        <v>179</v>
      </c>
      <c r="N29" t="s">
        <v>179</v>
      </c>
      <c r="O29" t="s">
        <v>179</v>
      </c>
    </row>
    <row r="30" spans="1:15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">
        <v>179</v>
      </c>
    </row>
    <row r="31" spans="1:15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179</v>
      </c>
      <c r="O31" t="s">
        <v>179</v>
      </c>
    </row>
    <row r="32" spans="1:15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179</v>
      </c>
      <c r="L32" t="s">
        <v>179</v>
      </c>
      <c r="M32" t="s">
        <v>179</v>
      </c>
      <c r="N32" t="s">
        <v>179</v>
      </c>
      <c r="O32" t="s">
        <v>179</v>
      </c>
    </row>
    <row r="33" spans="1:15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179</v>
      </c>
      <c r="L33" t="s">
        <v>179</v>
      </c>
      <c r="M33" t="s">
        <v>179</v>
      </c>
      <c r="N33" t="s">
        <v>179</v>
      </c>
      <c r="O33" t="s">
        <v>179</v>
      </c>
    </row>
    <row r="34" spans="1:15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179</v>
      </c>
      <c r="K34" t="s">
        <v>179</v>
      </c>
      <c r="L34" t="s">
        <v>179</v>
      </c>
      <c r="M34" t="s">
        <v>179</v>
      </c>
      <c r="N34" t="s">
        <v>179</v>
      </c>
      <c r="O34" t="s">
        <v>179</v>
      </c>
    </row>
    <row r="35" spans="1:15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179</v>
      </c>
      <c r="L35" t="s">
        <v>179</v>
      </c>
      <c r="M35" t="s">
        <v>179</v>
      </c>
      <c r="N35" t="s">
        <v>179</v>
      </c>
      <c r="O35" t="s">
        <v>179</v>
      </c>
    </row>
    <row r="36" spans="1:15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 t="s">
        <v>179</v>
      </c>
      <c r="H36" t="s">
        <v>179</v>
      </c>
      <c r="I36" t="s">
        <v>179</v>
      </c>
      <c r="J36" t="s">
        <v>179</v>
      </c>
      <c r="K36" t="s">
        <v>179</v>
      </c>
      <c r="L36" t="s">
        <v>179</v>
      </c>
      <c r="M36" t="s">
        <v>179</v>
      </c>
      <c r="N36" t="s">
        <v>179</v>
      </c>
      <c r="O36" t="s">
        <v>179</v>
      </c>
    </row>
    <row r="37" spans="1:15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</row>
    <row r="39" spans="1:15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179</v>
      </c>
      <c r="K39" t="s">
        <v>179</v>
      </c>
      <c r="L39" t="s">
        <v>179</v>
      </c>
      <c r="M39" t="s">
        <v>179</v>
      </c>
      <c r="N39" t="s">
        <v>179</v>
      </c>
      <c r="O39" t="s">
        <v>179</v>
      </c>
    </row>
    <row r="40" spans="1:15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179</v>
      </c>
      <c r="M40" t="s">
        <v>179</v>
      </c>
      <c r="N40" t="s">
        <v>179</v>
      </c>
      <c r="O40" t="s">
        <v>179</v>
      </c>
    </row>
    <row r="41" spans="1:15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179</v>
      </c>
      <c r="K42" t="s">
        <v>179</v>
      </c>
      <c r="L42" t="s">
        <v>179</v>
      </c>
      <c r="M42" t="s">
        <v>179</v>
      </c>
      <c r="N42" t="s">
        <v>179</v>
      </c>
      <c r="O42" t="s">
        <v>179</v>
      </c>
    </row>
    <row r="43" spans="1:15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179</v>
      </c>
      <c r="N43" t="s">
        <v>179</v>
      </c>
      <c r="O43" t="s">
        <v>179</v>
      </c>
    </row>
    <row r="44" spans="1:15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179</v>
      </c>
      <c r="L44" t="s">
        <v>179</v>
      </c>
      <c r="M44" t="s">
        <v>179</v>
      </c>
      <c r="N44" t="s">
        <v>179</v>
      </c>
      <c r="O44" t="s">
        <v>179</v>
      </c>
    </row>
    <row r="45" spans="1:15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 t="s">
        <v>179</v>
      </c>
      <c r="I45" t="s">
        <v>179</v>
      </c>
      <c r="J45" t="s">
        <v>179</v>
      </c>
      <c r="K45" t="s">
        <v>179</v>
      </c>
      <c r="L45" t="s">
        <v>179</v>
      </c>
      <c r="M45" t="s">
        <v>179</v>
      </c>
      <c r="N45" t="s">
        <v>179</v>
      </c>
      <c r="O45" t="s">
        <v>179</v>
      </c>
    </row>
    <row r="46" spans="1:15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179</v>
      </c>
      <c r="L46" t="s">
        <v>179</v>
      </c>
      <c r="M46" t="s">
        <v>179</v>
      </c>
      <c r="N46" t="s">
        <v>179</v>
      </c>
      <c r="O46" t="s">
        <v>179</v>
      </c>
    </row>
    <row r="47" spans="1:15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 t="s">
        <v>179</v>
      </c>
      <c r="I47" t="s">
        <v>179</v>
      </c>
      <c r="J47" t="s">
        <v>179</v>
      </c>
      <c r="K47" t="s">
        <v>179</v>
      </c>
      <c r="L47" t="s">
        <v>179</v>
      </c>
      <c r="M47" t="s">
        <v>179</v>
      </c>
      <c r="N47" t="s">
        <v>179</v>
      </c>
      <c r="O47" t="s">
        <v>179</v>
      </c>
    </row>
    <row r="48" spans="1:15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179</v>
      </c>
      <c r="K48" t="s">
        <v>179</v>
      </c>
      <c r="L48" t="s">
        <v>179</v>
      </c>
      <c r="M48" t="s">
        <v>179</v>
      </c>
      <c r="N48" t="s">
        <v>179</v>
      </c>
      <c r="O48" t="s">
        <v>179</v>
      </c>
    </row>
    <row r="49" spans="1:15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">
        <v>179</v>
      </c>
      <c r="J49" t="s">
        <v>179</v>
      </c>
      <c r="K49" t="s">
        <v>179</v>
      </c>
      <c r="L49" t="s">
        <v>179</v>
      </c>
      <c r="M49" t="s">
        <v>179</v>
      </c>
      <c r="N49" t="s">
        <v>179</v>
      </c>
      <c r="O49" t="s">
        <v>179</v>
      </c>
    </row>
    <row r="50" spans="1:15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179</v>
      </c>
      <c r="K50" t="s">
        <v>179</v>
      </c>
      <c r="L50" t="s">
        <v>179</v>
      </c>
      <c r="M50" t="s">
        <v>179</v>
      </c>
      <c r="N50" t="s">
        <v>179</v>
      </c>
      <c r="O50" t="s">
        <v>179</v>
      </c>
    </row>
    <row r="51" spans="1:15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179</v>
      </c>
      <c r="K51" t="s">
        <v>179</v>
      </c>
      <c r="L51" t="s">
        <v>179</v>
      </c>
      <c r="M51" t="s">
        <v>179</v>
      </c>
      <c r="N51" t="s">
        <v>179</v>
      </c>
      <c r="O51" t="s">
        <v>179</v>
      </c>
    </row>
    <row r="52" spans="1:15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179</v>
      </c>
      <c r="N52" t="s">
        <v>179</v>
      </c>
      <c r="O52" t="s">
        <v>179</v>
      </c>
    </row>
    <row r="53" spans="1:15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179</v>
      </c>
      <c r="N53" t="s">
        <v>179</v>
      </c>
      <c r="O53" t="s">
        <v>179</v>
      </c>
    </row>
    <row r="54" spans="1:15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t="s">
        <v>179</v>
      </c>
      <c r="I55" t="s">
        <v>179</v>
      </c>
      <c r="J55" t="s">
        <v>179</v>
      </c>
      <c r="K55" t="s">
        <v>179</v>
      </c>
      <c r="L55" t="s">
        <v>179</v>
      </c>
      <c r="M55" t="s">
        <v>179</v>
      </c>
      <c r="N55" t="s">
        <v>179</v>
      </c>
      <c r="O55" t="s">
        <v>179</v>
      </c>
    </row>
    <row r="56" spans="1:15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179</v>
      </c>
      <c r="N56" t="s">
        <v>179</v>
      </c>
      <c r="O56" t="s">
        <v>179</v>
      </c>
    </row>
    <row r="57" spans="1:15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179</v>
      </c>
      <c r="I57" t="s">
        <v>179</v>
      </c>
      <c r="J57" t="s">
        <v>179</v>
      </c>
      <c r="K57" t="s">
        <v>179</v>
      </c>
      <c r="L57" t="s">
        <v>179</v>
      </c>
      <c r="M57" t="s">
        <v>179</v>
      </c>
      <c r="N57" t="s">
        <v>179</v>
      </c>
      <c r="O57" t="s">
        <v>179</v>
      </c>
    </row>
    <row r="58" spans="1:15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179</v>
      </c>
      <c r="M59" t="s">
        <v>179</v>
      </c>
      <c r="N59" t="s">
        <v>179</v>
      </c>
      <c r="O59" t="s">
        <v>179</v>
      </c>
    </row>
    <row r="60" spans="1:15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179</v>
      </c>
      <c r="N60" t="s">
        <v>179</v>
      </c>
      <c r="O60" t="s">
        <v>179</v>
      </c>
    </row>
    <row r="61" spans="1:15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179</v>
      </c>
      <c r="K61" t="s">
        <v>179</v>
      </c>
      <c r="L61" t="s">
        <v>179</v>
      </c>
      <c r="M61" t="s">
        <v>179</v>
      </c>
      <c r="N61" t="s">
        <v>179</v>
      </c>
      <c r="O61" t="s">
        <v>179</v>
      </c>
    </row>
    <row r="62" spans="1:15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179</v>
      </c>
      <c r="N62" t="s">
        <v>179</v>
      </c>
      <c r="O62" t="s">
        <v>179</v>
      </c>
    </row>
    <row r="63" spans="1:15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179</v>
      </c>
      <c r="M64" t="s">
        <v>179</v>
      </c>
      <c r="N64" t="s">
        <v>179</v>
      </c>
      <c r="O64" t="s">
        <v>179</v>
      </c>
    </row>
    <row r="65" spans="1:15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179</v>
      </c>
      <c r="K65" t="s">
        <v>179</v>
      </c>
      <c r="L65" t="s">
        <v>179</v>
      </c>
      <c r="M65" t="s">
        <v>179</v>
      </c>
      <c r="N65" t="s">
        <v>179</v>
      </c>
      <c r="O65" t="s">
        <v>179</v>
      </c>
    </row>
    <row r="66" spans="1:15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179</v>
      </c>
      <c r="K66" t="s">
        <v>179</v>
      </c>
      <c r="L66" t="s">
        <v>179</v>
      </c>
      <c r="M66" t="s">
        <v>179</v>
      </c>
      <c r="N66" t="s">
        <v>179</v>
      </c>
      <c r="O66" t="s">
        <v>179</v>
      </c>
    </row>
    <row r="67" spans="1:15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179</v>
      </c>
      <c r="N67" t="s">
        <v>179</v>
      </c>
      <c r="O67" t="s">
        <v>179</v>
      </c>
    </row>
    <row r="68" spans="1:15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179</v>
      </c>
      <c r="M68" t="s">
        <v>179</v>
      </c>
      <c r="N68" t="s">
        <v>179</v>
      </c>
      <c r="O68" t="s">
        <v>179</v>
      </c>
    </row>
    <row r="69" spans="1:15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179</v>
      </c>
      <c r="L69" t="s">
        <v>179</v>
      </c>
      <c r="M69" t="s">
        <v>179</v>
      </c>
      <c r="N69" t="s">
        <v>179</v>
      </c>
      <c r="O69" t="s">
        <v>179</v>
      </c>
    </row>
    <row r="70" spans="1:15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179</v>
      </c>
      <c r="N72" t="s">
        <v>179</v>
      </c>
      <c r="O72" t="s">
        <v>179</v>
      </c>
    </row>
    <row r="73" spans="1:15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179</v>
      </c>
      <c r="N74" t="s">
        <v>179</v>
      </c>
      <c r="O74" t="s">
        <v>179</v>
      </c>
    </row>
    <row r="75" spans="1:15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179</v>
      </c>
      <c r="L75" t="s">
        <v>179</v>
      </c>
      <c r="M75" t="s">
        <v>179</v>
      </c>
      <c r="N75" t="s">
        <v>179</v>
      </c>
      <c r="O75" t="s">
        <v>179</v>
      </c>
    </row>
    <row r="76" spans="1:15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179</v>
      </c>
      <c r="L77" t="s">
        <v>179</v>
      </c>
      <c r="M77" t="s">
        <v>179</v>
      </c>
      <c r="N77" t="s">
        <v>179</v>
      </c>
      <c r="O77" t="s">
        <v>179</v>
      </c>
    </row>
    <row r="78" spans="1:15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179</v>
      </c>
      <c r="O78" t="s">
        <v>179</v>
      </c>
    </row>
    <row r="79" spans="1:15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</row>
    <row r="81" spans="1:15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179</v>
      </c>
      <c r="L81" t="s">
        <v>179</v>
      </c>
      <c r="M81" t="s">
        <v>179</v>
      </c>
      <c r="N81" t="s">
        <v>179</v>
      </c>
      <c r="O81" t="s">
        <v>179</v>
      </c>
    </row>
    <row r="82" spans="1:15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179</v>
      </c>
      <c r="L83" t="s">
        <v>179</v>
      </c>
      <c r="M83" t="s">
        <v>179</v>
      </c>
      <c r="N83" t="s">
        <v>179</v>
      </c>
      <c r="O83" t="s">
        <v>179</v>
      </c>
    </row>
    <row r="84" spans="1:15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179</v>
      </c>
      <c r="L84" t="s">
        <v>179</v>
      </c>
      <c r="M84" t="s">
        <v>179</v>
      </c>
      <c r="N84" t="s">
        <v>179</v>
      </c>
      <c r="O84" t="s">
        <v>179</v>
      </c>
    </row>
    <row r="85" spans="1:15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179</v>
      </c>
      <c r="K86" t="s">
        <v>179</v>
      </c>
      <c r="L86" t="s">
        <v>179</v>
      </c>
      <c r="M86" t="s">
        <v>179</v>
      </c>
      <c r="N86" t="s">
        <v>179</v>
      </c>
      <c r="O86" t="s">
        <v>179</v>
      </c>
    </row>
    <row r="87" spans="1:15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179</v>
      </c>
      <c r="K87" t="s">
        <v>179</v>
      </c>
      <c r="L87" t="s">
        <v>179</v>
      </c>
      <c r="M87" t="s">
        <v>179</v>
      </c>
      <c r="N87" t="s">
        <v>179</v>
      </c>
      <c r="O87" t="s">
        <v>179</v>
      </c>
    </row>
    <row r="88" spans="1:15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179</v>
      </c>
      <c r="M89" t="s">
        <v>179</v>
      </c>
      <c r="N89" t="s">
        <v>179</v>
      </c>
      <c r="O89" t="s">
        <v>179</v>
      </c>
    </row>
    <row r="90" spans="1:15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179</v>
      </c>
      <c r="N92" t="s">
        <v>179</v>
      </c>
      <c r="O92" t="s">
        <v>179</v>
      </c>
    </row>
    <row r="93" spans="1:15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179</v>
      </c>
      <c r="L93" t="s">
        <v>179</v>
      </c>
      <c r="M93" t="s">
        <v>179</v>
      </c>
      <c r="N93" t="s">
        <v>179</v>
      </c>
      <c r="O93" t="s">
        <v>179</v>
      </c>
    </row>
    <row r="94" spans="1:15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179</v>
      </c>
      <c r="L95" t="s">
        <v>179</v>
      </c>
      <c r="M95" t="s">
        <v>179</v>
      </c>
      <c r="N95" t="s">
        <v>179</v>
      </c>
      <c r="O95" t="s">
        <v>179</v>
      </c>
    </row>
    <row r="96" spans="1:15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179</v>
      </c>
      <c r="M96" t="s">
        <v>179</v>
      </c>
      <c r="N96" t="s">
        <v>179</v>
      </c>
      <c r="O96" t="s">
        <v>179</v>
      </c>
    </row>
    <row r="97" spans="1:15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s">
        <v>179</v>
      </c>
      <c r="J98" t="s">
        <v>179</v>
      </c>
      <c r="K98" t="s">
        <v>179</v>
      </c>
      <c r="L98" t="s">
        <v>179</v>
      </c>
      <c r="M98" t="s">
        <v>179</v>
      </c>
      <c r="N98" t="s">
        <v>179</v>
      </c>
      <c r="O98" t="s">
        <v>179</v>
      </c>
    </row>
    <row r="99" spans="1:15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179</v>
      </c>
      <c r="N99" t="s">
        <v>179</v>
      </c>
      <c r="O99" t="s">
        <v>179</v>
      </c>
    </row>
    <row r="100" spans="1:15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179</v>
      </c>
      <c r="L101" t="s">
        <v>179</v>
      </c>
      <c r="M101" t="s">
        <v>179</v>
      </c>
      <c r="N101" t="s">
        <v>179</v>
      </c>
      <c r="O101" t="s">
        <v>179</v>
      </c>
    </row>
    <row r="102" spans="1:15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179</v>
      </c>
      <c r="L102" t="s">
        <v>179</v>
      </c>
      <c r="M102" t="s">
        <v>179</v>
      </c>
      <c r="N102" t="s">
        <v>179</v>
      </c>
      <c r="O102" t="s">
        <v>179</v>
      </c>
    </row>
    <row r="103" spans="1:15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179</v>
      </c>
      <c r="L104" t="s">
        <v>179</v>
      </c>
      <c r="M104" t="s">
        <v>179</v>
      </c>
      <c r="N104" t="s">
        <v>179</v>
      </c>
      <c r="O104" t="s">
        <v>179</v>
      </c>
    </row>
    <row r="105" spans="1:15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s">
        <v>179</v>
      </c>
      <c r="J105" t="s">
        <v>179</v>
      </c>
      <c r="K105" t="s">
        <v>179</v>
      </c>
      <c r="L105" t="s">
        <v>179</v>
      </c>
      <c r="M105" t="s">
        <v>179</v>
      </c>
      <c r="N105" t="s">
        <v>179</v>
      </c>
      <c r="O105" t="s">
        <v>179</v>
      </c>
    </row>
    <row r="106" spans="1:15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s">
        <v>179</v>
      </c>
      <c r="J107" t="s">
        <v>179</v>
      </c>
      <c r="K107" t="s">
        <v>179</v>
      </c>
      <c r="L107" t="s">
        <v>179</v>
      </c>
      <c r="M107" t="s">
        <v>179</v>
      </c>
      <c r="N107" t="s">
        <v>179</v>
      </c>
      <c r="O107" t="s">
        <v>179</v>
      </c>
    </row>
    <row r="108" spans="1:15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 t="s">
        <v>179</v>
      </c>
      <c r="I108" t="s">
        <v>179</v>
      </c>
      <c r="J108" t="s">
        <v>179</v>
      </c>
      <c r="K108" t="s">
        <v>179</v>
      </c>
      <c r="L108" t="s">
        <v>179</v>
      </c>
      <c r="M108" t="s">
        <v>179</v>
      </c>
      <c r="N108" t="s">
        <v>179</v>
      </c>
      <c r="O108" t="s">
        <v>179</v>
      </c>
    </row>
    <row r="109" spans="1:15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">
      <c r="A110">
        <v>0</v>
      </c>
      <c r="B110">
        <v>0</v>
      </c>
      <c r="C110">
        <v>0</v>
      </c>
      <c r="D110">
        <v>0</v>
      </c>
      <c r="E110">
        <v>0</v>
      </c>
      <c r="F110" t="s">
        <v>179</v>
      </c>
      <c r="G110" t="s">
        <v>179</v>
      </c>
      <c r="H110" t="s">
        <v>179</v>
      </c>
      <c r="I110" t="s">
        <v>179</v>
      </c>
      <c r="J110" t="s">
        <v>179</v>
      </c>
      <c r="K110" t="s">
        <v>179</v>
      </c>
      <c r="L110" t="s">
        <v>179</v>
      </c>
      <c r="M110" t="s">
        <v>179</v>
      </c>
      <c r="N110" t="s">
        <v>179</v>
      </c>
      <c r="O110" t="s">
        <v>179</v>
      </c>
    </row>
    <row r="111" spans="1:15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179</v>
      </c>
      <c r="N114" t="s">
        <v>179</v>
      </c>
      <c r="O114" t="s">
        <v>179</v>
      </c>
    </row>
    <row r="115" spans="1:15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179</v>
      </c>
      <c r="O116" t="s">
        <v>179</v>
      </c>
    </row>
    <row r="117" spans="1:15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179</v>
      </c>
      <c r="L123" t="s">
        <v>179</v>
      </c>
      <c r="M123" t="s">
        <v>179</v>
      </c>
      <c r="N123" t="s">
        <v>179</v>
      </c>
      <c r="O123" t="s">
        <v>179</v>
      </c>
    </row>
    <row r="124" spans="1:15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179</v>
      </c>
      <c r="M125" t="s">
        <v>179</v>
      </c>
      <c r="N125" t="s">
        <v>179</v>
      </c>
      <c r="O125" t="s">
        <v>179</v>
      </c>
    </row>
    <row r="126" spans="1:15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s">
        <v>179</v>
      </c>
      <c r="J126" t="s">
        <v>179</v>
      </c>
      <c r="K126" t="s">
        <v>179</v>
      </c>
      <c r="L126" t="s">
        <v>179</v>
      </c>
      <c r="M126" t="s">
        <v>179</v>
      </c>
      <c r="N126" t="s">
        <v>179</v>
      </c>
      <c r="O126" t="s">
        <v>179</v>
      </c>
    </row>
    <row r="127" spans="1:15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179</v>
      </c>
      <c r="M129" t="s">
        <v>179</v>
      </c>
      <c r="N129" t="s">
        <v>179</v>
      </c>
      <c r="O129" t="s">
        <v>179</v>
      </c>
    </row>
    <row r="130" spans="1:15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 t="s">
        <v>179</v>
      </c>
      <c r="J131" t="s">
        <v>179</v>
      </c>
      <c r="K131" t="s">
        <v>179</v>
      </c>
      <c r="L131" t="s">
        <v>179</v>
      </c>
      <c r="M131" t="s">
        <v>179</v>
      </c>
      <c r="N131" t="s">
        <v>179</v>
      </c>
      <c r="O131" t="s">
        <v>179</v>
      </c>
    </row>
    <row r="132" spans="1:15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179</v>
      </c>
      <c r="K133" t="s">
        <v>179</v>
      </c>
      <c r="L133" t="s">
        <v>179</v>
      </c>
      <c r="M133" t="s">
        <v>179</v>
      </c>
      <c r="N133" t="s">
        <v>179</v>
      </c>
      <c r="O133" t="s">
        <v>179</v>
      </c>
    </row>
    <row r="134" spans="1:15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179</v>
      </c>
      <c r="M134" t="s">
        <v>179</v>
      </c>
      <c r="N134" t="s">
        <v>179</v>
      </c>
      <c r="O134" t="s">
        <v>179</v>
      </c>
    </row>
    <row r="135" spans="1:15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179</v>
      </c>
      <c r="M136" t="s">
        <v>179</v>
      </c>
      <c r="N136" t="s">
        <v>179</v>
      </c>
      <c r="O136" t="s">
        <v>179</v>
      </c>
    </row>
    <row r="137" spans="1:15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 t="s">
        <v>179</v>
      </c>
      <c r="J137" t="s">
        <v>179</v>
      </c>
      <c r="K137" t="s">
        <v>179</v>
      </c>
      <c r="L137" t="s">
        <v>179</v>
      </c>
      <c r="M137" t="s">
        <v>179</v>
      </c>
      <c r="N137" t="s">
        <v>179</v>
      </c>
      <c r="O137" t="s">
        <v>179</v>
      </c>
    </row>
    <row r="138" spans="1:15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 t="s">
        <v>179</v>
      </c>
      <c r="J139" t="s">
        <v>179</v>
      </c>
      <c r="K139" t="s">
        <v>179</v>
      </c>
      <c r="L139" t="s">
        <v>179</v>
      </c>
      <c r="M139" t="s">
        <v>179</v>
      </c>
      <c r="N139" t="s">
        <v>179</v>
      </c>
      <c r="O139" t="s">
        <v>179</v>
      </c>
    </row>
    <row r="140" spans="1:15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1</v>
      </c>
    </row>
    <row r="141" spans="1:15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179</v>
      </c>
      <c r="O142" t="s">
        <v>179</v>
      </c>
    </row>
    <row r="143" spans="1:15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179</v>
      </c>
      <c r="K143" t="s">
        <v>179</v>
      </c>
      <c r="L143" t="s">
        <v>179</v>
      </c>
      <c r="M143" t="s">
        <v>179</v>
      </c>
      <c r="N143" t="s">
        <v>179</v>
      </c>
      <c r="O143" t="s">
        <v>179</v>
      </c>
    </row>
    <row r="144" spans="1:15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179</v>
      </c>
      <c r="K145" t="s">
        <v>179</v>
      </c>
      <c r="L145" t="s">
        <v>179</v>
      </c>
      <c r="M145" t="s">
        <v>179</v>
      </c>
      <c r="N145" t="s">
        <v>179</v>
      </c>
      <c r="O145" t="s">
        <v>179</v>
      </c>
    </row>
    <row r="146" spans="1:15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179</v>
      </c>
      <c r="K147" t="s">
        <v>179</v>
      </c>
      <c r="L147" t="s">
        <v>179</v>
      </c>
      <c r="M147" t="s">
        <v>179</v>
      </c>
      <c r="N147" t="s">
        <v>179</v>
      </c>
      <c r="O147" t="s">
        <v>179</v>
      </c>
    </row>
    <row r="148" spans="1:15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179</v>
      </c>
      <c r="K148" t="s">
        <v>179</v>
      </c>
      <c r="L148" t="s">
        <v>179</v>
      </c>
      <c r="M148" t="s">
        <v>179</v>
      </c>
      <c r="N148" t="s">
        <v>179</v>
      </c>
      <c r="O148" t="s">
        <v>179</v>
      </c>
    </row>
    <row r="149" spans="1:15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179</v>
      </c>
      <c r="L150" t="s">
        <v>179</v>
      </c>
      <c r="M150" t="s">
        <v>179</v>
      </c>
      <c r="N150" t="s">
        <v>179</v>
      </c>
      <c r="O150" t="s">
        <v>179</v>
      </c>
    </row>
    <row r="151" spans="1:15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179</v>
      </c>
      <c r="K151" t="s">
        <v>179</v>
      </c>
      <c r="L151" t="s">
        <v>179</v>
      </c>
      <c r="M151" t="s">
        <v>179</v>
      </c>
      <c r="N151" t="s">
        <v>179</v>
      </c>
      <c r="O151" t="s">
        <v>179</v>
      </c>
    </row>
    <row r="152" spans="1:15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179</v>
      </c>
      <c r="L153" t="s">
        <v>179</v>
      </c>
      <c r="M153" t="s">
        <v>179</v>
      </c>
      <c r="N153" t="s">
        <v>179</v>
      </c>
      <c r="O153" t="s">
        <v>179</v>
      </c>
    </row>
    <row r="154" spans="1:15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179</v>
      </c>
      <c r="M154" t="s">
        <v>179</v>
      </c>
      <c r="N154" t="s">
        <v>179</v>
      </c>
      <c r="O154" t="s">
        <v>179</v>
      </c>
    </row>
    <row r="155" spans="1:15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179</v>
      </c>
      <c r="O156" t="s">
        <v>179</v>
      </c>
    </row>
    <row r="157" spans="1:15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 t="s">
        <v>179</v>
      </c>
      <c r="J157" t="s">
        <v>179</v>
      </c>
      <c r="K157" t="s">
        <v>179</v>
      </c>
      <c r="L157" t="s">
        <v>179</v>
      </c>
      <c r="M157" t="s">
        <v>179</v>
      </c>
      <c r="N157" t="s">
        <v>179</v>
      </c>
      <c r="O157" t="s">
        <v>179</v>
      </c>
    </row>
    <row r="158" spans="1:15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179</v>
      </c>
      <c r="K159" t="s">
        <v>179</v>
      </c>
      <c r="L159" t="s">
        <v>179</v>
      </c>
      <c r="M159" t="s">
        <v>179</v>
      </c>
      <c r="N159" t="s">
        <v>179</v>
      </c>
      <c r="O159" t="s">
        <v>179</v>
      </c>
    </row>
    <row r="160" spans="1:15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179</v>
      </c>
      <c r="K162" t="s">
        <v>179</v>
      </c>
      <c r="L162" t="s">
        <v>179</v>
      </c>
      <c r="M162" t="s">
        <v>179</v>
      </c>
      <c r="N162" t="s">
        <v>179</v>
      </c>
      <c r="O162" t="s">
        <v>179</v>
      </c>
    </row>
    <row r="163" spans="1:15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179</v>
      </c>
      <c r="M163" t="s">
        <v>179</v>
      </c>
      <c r="N163" t="s">
        <v>179</v>
      </c>
      <c r="O163" t="s">
        <v>179</v>
      </c>
    </row>
    <row r="164" spans="1:15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 t="s">
        <v>179</v>
      </c>
      <c r="J165" t="s">
        <v>179</v>
      </c>
      <c r="K165" t="s">
        <v>179</v>
      </c>
      <c r="L165" t="s">
        <v>179</v>
      </c>
      <c r="M165" t="s">
        <v>179</v>
      </c>
      <c r="N165" t="s">
        <v>179</v>
      </c>
      <c r="O165" t="s">
        <v>179</v>
      </c>
    </row>
    <row r="166" spans="1:15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179</v>
      </c>
      <c r="N166" t="s">
        <v>179</v>
      </c>
      <c r="O166" t="s">
        <v>179</v>
      </c>
    </row>
    <row r="167" spans="1:15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 t="s">
        <v>179</v>
      </c>
      <c r="J168" t="s">
        <v>179</v>
      </c>
      <c r="K168" t="s">
        <v>179</v>
      </c>
      <c r="L168" t="s">
        <v>179</v>
      </c>
      <c r="M168" t="s">
        <v>179</v>
      </c>
      <c r="N168" t="s">
        <v>179</v>
      </c>
      <c r="O168" t="s">
        <v>179</v>
      </c>
    </row>
    <row r="169" spans="1:15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179</v>
      </c>
      <c r="N169" t="s">
        <v>179</v>
      </c>
      <c r="O169" t="s">
        <v>179</v>
      </c>
    </row>
    <row r="170" spans="1:15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179</v>
      </c>
    </row>
    <row r="172" spans="1:15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179</v>
      </c>
      <c r="N172" t="s">
        <v>179</v>
      </c>
      <c r="O172" t="s">
        <v>179</v>
      </c>
    </row>
    <row r="173" spans="1:15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 t="s">
        <v>179</v>
      </c>
      <c r="J174" t="s">
        <v>179</v>
      </c>
      <c r="K174" t="s">
        <v>179</v>
      </c>
      <c r="L174" t="s">
        <v>179</v>
      </c>
      <c r="M174" t="s">
        <v>179</v>
      </c>
      <c r="N174" t="s">
        <v>179</v>
      </c>
      <c r="O174" t="s">
        <v>179</v>
      </c>
    </row>
    <row r="175" spans="1:15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179</v>
      </c>
      <c r="M175" t="s">
        <v>179</v>
      </c>
      <c r="N175" t="s">
        <v>179</v>
      </c>
      <c r="O175" t="s">
        <v>179</v>
      </c>
    </row>
    <row r="176" spans="1:15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179</v>
      </c>
      <c r="M177" t="s">
        <v>179</v>
      </c>
      <c r="N177" t="s">
        <v>179</v>
      </c>
      <c r="O177" t="s">
        <v>179</v>
      </c>
    </row>
    <row r="178" spans="1:15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179</v>
      </c>
      <c r="L178" t="s">
        <v>179</v>
      </c>
      <c r="M178" t="s">
        <v>179</v>
      </c>
      <c r="N178" t="s">
        <v>179</v>
      </c>
      <c r="O178" t="s">
        <v>179</v>
      </c>
    </row>
    <row r="179" spans="1:15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179</v>
      </c>
      <c r="L180" t="s">
        <v>179</v>
      </c>
      <c r="M180" t="s">
        <v>179</v>
      </c>
      <c r="N180" t="s">
        <v>179</v>
      </c>
      <c r="O180" t="s">
        <v>179</v>
      </c>
    </row>
    <row r="181" spans="1:15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179</v>
      </c>
    </row>
    <row r="182" spans="1:15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</row>
    <row r="184" spans="1:15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179</v>
      </c>
      <c r="N184" t="s">
        <v>179</v>
      </c>
      <c r="O184" t="s">
        <v>179</v>
      </c>
    </row>
    <row r="185" spans="1:15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179</v>
      </c>
      <c r="N186" t="s">
        <v>179</v>
      </c>
      <c r="O186" t="s">
        <v>179</v>
      </c>
    </row>
    <row r="187" spans="1:15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179</v>
      </c>
      <c r="M187" t="s">
        <v>179</v>
      </c>
      <c r="N187" t="s">
        <v>179</v>
      </c>
      <c r="O187" t="s">
        <v>179</v>
      </c>
    </row>
    <row r="188" spans="1:15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179</v>
      </c>
      <c r="N189" t="s">
        <v>179</v>
      </c>
      <c r="O189" t="s">
        <v>179</v>
      </c>
    </row>
    <row r="190" spans="1:15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179</v>
      </c>
      <c r="K193" t="s">
        <v>179</v>
      </c>
      <c r="L193" t="s">
        <v>179</v>
      </c>
      <c r="M193" t="s">
        <v>179</v>
      </c>
      <c r="N193" t="s">
        <v>179</v>
      </c>
      <c r="O193" t="s">
        <v>179</v>
      </c>
    </row>
    <row r="194" spans="1:15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179</v>
      </c>
      <c r="L195" t="s">
        <v>179</v>
      </c>
      <c r="M195" t="s">
        <v>179</v>
      </c>
      <c r="N195" t="s">
        <v>179</v>
      </c>
      <c r="O195" t="s">
        <v>179</v>
      </c>
    </row>
    <row r="196" spans="1:15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 t="s">
        <v>179</v>
      </c>
      <c r="H196" t="s">
        <v>179</v>
      </c>
      <c r="I196" t="s">
        <v>179</v>
      </c>
      <c r="J196" t="s">
        <v>179</v>
      </c>
      <c r="K196" t="s">
        <v>179</v>
      </c>
      <c r="L196" t="s">
        <v>179</v>
      </c>
      <c r="M196" t="s">
        <v>179</v>
      </c>
      <c r="N196" t="s">
        <v>179</v>
      </c>
      <c r="O196" t="s">
        <v>179</v>
      </c>
    </row>
    <row r="197" spans="1:15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 t="s">
        <v>179</v>
      </c>
      <c r="H198" t="s">
        <v>179</v>
      </c>
      <c r="I198" t="s">
        <v>179</v>
      </c>
      <c r="J198" t="s">
        <v>179</v>
      </c>
      <c r="K198" t="s">
        <v>179</v>
      </c>
      <c r="L198" t="s">
        <v>179</v>
      </c>
      <c r="M198" t="s">
        <v>179</v>
      </c>
      <c r="N198" t="s">
        <v>179</v>
      </c>
      <c r="O198" t="s">
        <v>179</v>
      </c>
    </row>
    <row r="199" spans="1:15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179</v>
      </c>
      <c r="L199" t="s">
        <v>179</v>
      </c>
      <c r="M199" t="s">
        <v>179</v>
      </c>
      <c r="N199" t="s">
        <v>179</v>
      </c>
      <c r="O199" t="s">
        <v>179</v>
      </c>
    </row>
    <row r="200" spans="1:15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179</v>
      </c>
      <c r="M202" t="s">
        <v>179</v>
      </c>
      <c r="N202" t="s">
        <v>179</v>
      </c>
      <c r="O202" t="s">
        <v>179</v>
      </c>
    </row>
    <row r="203" spans="1:15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179</v>
      </c>
      <c r="K204" t="s">
        <v>179</v>
      </c>
      <c r="L204" t="s">
        <v>179</v>
      </c>
      <c r="M204" t="s">
        <v>179</v>
      </c>
      <c r="N204" t="s">
        <v>179</v>
      </c>
      <c r="O204" t="s">
        <v>179</v>
      </c>
    </row>
    <row r="205" spans="1:15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179</v>
      </c>
      <c r="L205" t="s">
        <v>179</v>
      </c>
      <c r="M205" t="s">
        <v>179</v>
      </c>
      <c r="N205" t="s">
        <v>179</v>
      </c>
      <c r="O205" t="s">
        <v>179</v>
      </c>
    </row>
    <row r="206" spans="1:15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179</v>
      </c>
      <c r="N207" t="s">
        <v>179</v>
      </c>
      <c r="O207" t="s">
        <v>179</v>
      </c>
    </row>
    <row r="208" spans="1:15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179</v>
      </c>
      <c r="N208" t="s">
        <v>179</v>
      </c>
      <c r="O208" t="s">
        <v>179</v>
      </c>
    </row>
    <row r="209" spans="1:15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179</v>
      </c>
      <c r="N210" t="s">
        <v>179</v>
      </c>
      <c r="O210" t="s">
        <v>179</v>
      </c>
    </row>
    <row r="211" spans="1:15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179</v>
      </c>
      <c r="L214" t="s">
        <v>179</v>
      </c>
      <c r="M214" t="s">
        <v>179</v>
      </c>
      <c r="N214" t="s">
        <v>179</v>
      </c>
      <c r="O214" t="s">
        <v>179</v>
      </c>
    </row>
    <row r="215" spans="1:15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179</v>
      </c>
      <c r="L216" t="s">
        <v>179</v>
      </c>
      <c r="M216" t="s">
        <v>179</v>
      </c>
      <c r="N216" t="s">
        <v>179</v>
      </c>
      <c r="O216" t="s">
        <v>179</v>
      </c>
    </row>
    <row r="217" spans="1:15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179</v>
      </c>
      <c r="L217" t="s">
        <v>179</v>
      </c>
      <c r="M217" t="s">
        <v>179</v>
      </c>
      <c r="N217" t="s">
        <v>179</v>
      </c>
      <c r="O217" t="s">
        <v>179</v>
      </c>
    </row>
    <row r="218" spans="1:15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179</v>
      </c>
      <c r="L219" t="s">
        <v>179</v>
      </c>
      <c r="M219" t="s">
        <v>179</v>
      </c>
      <c r="N219" t="s">
        <v>179</v>
      </c>
      <c r="O219" t="s">
        <v>179</v>
      </c>
    </row>
    <row r="220" spans="1:15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179</v>
      </c>
      <c r="O220" t="s">
        <v>179</v>
      </c>
    </row>
    <row r="221" spans="1:15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179</v>
      </c>
      <c r="O222" t="s">
        <v>179</v>
      </c>
    </row>
    <row r="223" spans="1:15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179</v>
      </c>
      <c r="M223" t="s">
        <v>179</v>
      </c>
      <c r="N223" t="s">
        <v>179</v>
      </c>
      <c r="O223" t="s">
        <v>179</v>
      </c>
    </row>
    <row r="224" spans="1:15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179</v>
      </c>
      <c r="M225" t="s">
        <v>179</v>
      </c>
      <c r="N225" t="s">
        <v>179</v>
      </c>
      <c r="O225" t="s">
        <v>179</v>
      </c>
    </row>
    <row r="226" spans="1:15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179</v>
      </c>
      <c r="N226" t="s">
        <v>179</v>
      </c>
      <c r="O226" t="s">
        <v>179</v>
      </c>
    </row>
    <row r="227" spans="1:15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 t="s">
        <v>179</v>
      </c>
      <c r="J228" t="s">
        <v>179</v>
      </c>
      <c r="K228" t="s">
        <v>179</v>
      </c>
      <c r="L228" t="s">
        <v>179</v>
      </c>
      <c r="M228" t="s">
        <v>179</v>
      </c>
      <c r="N228" t="s">
        <v>179</v>
      </c>
      <c r="O228" t="s">
        <v>179</v>
      </c>
    </row>
    <row r="229" spans="1:15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179</v>
      </c>
      <c r="O229" t="s">
        <v>179</v>
      </c>
    </row>
    <row r="230" spans="1:15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</row>
    <row r="232" spans="1:15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179</v>
      </c>
      <c r="L232" t="s">
        <v>179</v>
      </c>
      <c r="M232" t="s">
        <v>179</v>
      </c>
      <c r="N232" t="s">
        <v>179</v>
      </c>
      <c r="O232" t="s">
        <v>179</v>
      </c>
    </row>
    <row r="233" spans="1:15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179</v>
      </c>
      <c r="M234" t="s">
        <v>179</v>
      </c>
      <c r="N234" t="s">
        <v>179</v>
      </c>
      <c r="O234" t="s">
        <v>179</v>
      </c>
    </row>
    <row r="235" spans="1:15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179</v>
      </c>
      <c r="L235" t="s">
        <v>179</v>
      </c>
      <c r="M235" t="s">
        <v>179</v>
      </c>
      <c r="N235" t="s">
        <v>179</v>
      </c>
      <c r="O235" t="s">
        <v>179</v>
      </c>
    </row>
    <row r="236" spans="1:15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179</v>
      </c>
      <c r="L237" t="s">
        <v>179</v>
      </c>
      <c r="M237" t="s">
        <v>179</v>
      </c>
      <c r="N237" t="s">
        <v>179</v>
      </c>
      <c r="O237" t="s">
        <v>179</v>
      </c>
    </row>
    <row r="238" spans="1:15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t="s">
        <v>179</v>
      </c>
      <c r="J238" t="s">
        <v>179</v>
      </c>
      <c r="K238" t="s">
        <v>179</v>
      </c>
      <c r="L238" t="s">
        <v>179</v>
      </c>
      <c r="M238" t="s">
        <v>179</v>
      </c>
      <c r="N238" t="s">
        <v>179</v>
      </c>
      <c r="O238" t="s">
        <v>179</v>
      </c>
    </row>
    <row r="239" spans="1:15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179</v>
      </c>
      <c r="K240" t="s">
        <v>179</v>
      </c>
      <c r="L240" t="s">
        <v>179</v>
      </c>
      <c r="M240" t="s">
        <v>179</v>
      </c>
      <c r="N240" t="s">
        <v>179</v>
      </c>
      <c r="O240" t="s">
        <v>179</v>
      </c>
    </row>
    <row r="241" spans="1:16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179</v>
      </c>
      <c r="N241" t="s">
        <v>179</v>
      </c>
      <c r="O241" t="s">
        <v>179</v>
      </c>
    </row>
    <row r="242" spans="1:16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6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179</v>
      </c>
      <c r="N243" t="s">
        <v>179</v>
      </c>
      <c r="O243" t="s">
        <v>179</v>
      </c>
    </row>
    <row r="244" spans="1:16" x14ac:dyDescent="0.2">
      <c r="A244">
        <f>COUNTIF(A2:A243,"0")</f>
        <v>242</v>
      </c>
      <c r="B244">
        <f t="shared" ref="B244:O244" si="0">COUNTIF(B2:B243,"0")</f>
        <v>242</v>
      </c>
      <c r="C244">
        <f t="shared" si="0"/>
        <v>242</v>
      </c>
      <c r="D244">
        <f t="shared" si="0"/>
        <v>242</v>
      </c>
      <c r="E244">
        <f t="shared" si="0"/>
        <v>242</v>
      </c>
      <c r="F244">
        <f t="shared" si="0"/>
        <v>237</v>
      </c>
      <c r="G244">
        <f t="shared" si="0"/>
        <v>231</v>
      </c>
      <c r="H244">
        <f t="shared" si="0"/>
        <v>224</v>
      </c>
      <c r="I244">
        <f t="shared" si="0"/>
        <v>208</v>
      </c>
      <c r="J244">
        <f t="shared" si="0"/>
        <v>172</v>
      </c>
      <c r="K244">
        <f t="shared" si="0"/>
        <v>134</v>
      </c>
      <c r="L244">
        <f t="shared" si="0"/>
        <v>109</v>
      </c>
      <c r="M244">
        <f t="shared" si="0"/>
        <v>80</v>
      </c>
      <c r="N244">
        <f t="shared" si="0"/>
        <v>68</v>
      </c>
      <c r="O244">
        <f t="shared" si="0"/>
        <v>64</v>
      </c>
      <c r="P244" t="s">
        <v>249</v>
      </c>
    </row>
    <row r="245" spans="1:16" x14ac:dyDescent="0.2">
      <c r="A245">
        <f>COUNTIF(A2:A243,"1")</f>
        <v>0</v>
      </c>
      <c r="B245">
        <f t="shared" ref="B245:O245" si="1">COUNTIF(B2:B243,"1")</f>
        <v>0</v>
      </c>
      <c r="C245">
        <f t="shared" si="1"/>
        <v>0</v>
      </c>
      <c r="D245">
        <f t="shared" si="1"/>
        <v>0</v>
      </c>
      <c r="E245">
        <f t="shared" si="1"/>
        <v>0</v>
      </c>
      <c r="F245">
        <f t="shared" si="1"/>
        <v>4</v>
      </c>
      <c r="G245">
        <f t="shared" si="1"/>
        <v>7</v>
      </c>
      <c r="H245">
        <f t="shared" si="1"/>
        <v>7</v>
      </c>
      <c r="I245">
        <f t="shared" si="1"/>
        <v>7</v>
      </c>
      <c r="J245">
        <f t="shared" si="1"/>
        <v>17</v>
      </c>
      <c r="K245">
        <f t="shared" si="1"/>
        <v>19</v>
      </c>
      <c r="L245">
        <f t="shared" si="1"/>
        <v>19</v>
      </c>
      <c r="M245">
        <f t="shared" si="1"/>
        <v>20</v>
      </c>
      <c r="N245">
        <f t="shared" si="1"/>
        <v>24</v>
      </c>
      <c r="O245">
        <f t="shared" si="1"/>
        <v>24</v>
      </c>
      <c r="P245" t="s">
        <v>250</v>
      </c>
    </row>
    <row r="246" spans="1:16" x14ac:dyDescent="0.2">
      <c r="A246">
        <f>COUNTIF(A2:A243,"NA")</f>
        <v>0</v>
      </c>
      <c r="B246">
        <f t="shared" ref="B246:O246" si="2">COUNTIF(B2:B243,"NA")</f>
        <v>0</v>
      </c>
      <c r="C246">
        <f t="shared" si="2"/>
        <v>0</v>
      </c>
      <c r="D246">
        <f t="shared" si="2"/>
        <v>0</v>
      </c>
      <c r="E246">
        <f t="shared" si="2"/>
        <v>0</v>
      </c>
      <c r="F246">
        <f t="shared" si="2"/>
        <v>1</v>
      </c>
      <c r="G246">
        <f t="shared" si="2"/>
        <v>4</v>
      </c>
      <c r="H246">
        <f t="shared" si="2"/>
        <v>11</v>
      </c>
      <c r="I246">
        <f t="shared" si="2"/>
        <v>27</v>
      </c>
      <c r="J246">
        <f t="shared" si="2"/>
        <v>53</v>
      </c>
      <c r="K246">
        <f t="shared" si="2"/>
        <v>89</v>
      </c>
      <c r="L246">
        <f t="shared" si="2"/>
        <v>114</v>
      </c>
      <c r="M246">
        <f t="shared" si="2"/>
        <v>142</v>
      </c>
      <c r="N246">
        <f t="shared" si="2"/>
        <v>150</v>
      </c>
      <c r="O246">
        <f t="shared" si="2"/>
        <v>154</v>
      </c>
      <c r="P246" t="s">
        <v>179</v>
      </c>
    </row>
    <row r="247" spans="1:16" x14ac:dyDescent="0.2">
      <c r="O247">
        <f>24/242</f>
        <v>9.9173553719008267E-2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Sheet6</vt:lpstr>
      <vt:lpstr>Sheet4</vt:lpstr>
      <vt:lpstr>Sheet3</vt:lpstr>
      <vt:lpstr>heat stress mort data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Nia Symone Walker</cp:lastModifiedBy>
  <dcterms:created xsi:type="dcterms:W3CDTF">2023-05-29T07:29:46Z</dcterms:created>
  <dcterms:modified xsi:type="dcterms:W3CDTF">2024-01-23T00:43:46Z</dcterms:modified>
</cp:coreProperties>
</file>